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0" customWidth="1" min="19" max="19"/>
    <col width="8" customWidth="1" min="20" max="20"/>
    <col width="10" customWidth="1" min="21" max="21"/>
  </cols>
  <sheetData>
    <row r="1">
      <c r="A1" s="1" t="inlineStr">
        <is>
          <t>DAYS</t>
        </is>
      </c>
      <c r="B1" s="2" t="n">
        <v>7</v>
      </c>
      <c r="C1" s="1" t="inlineStr">
        <is>
          <t>OFFSET</t>
        </is>
      </c>
      <c r="D1" s="2" t="n">
        <v>3</v>
      </c>
      <c r="E1" s="1" t="inlineStr">
        <is>
          <t>LONG_BIAS</t>
        </is>
      </c>
      <c r="F1" s="2" t="n">
        <v>3</v>
      </c>
      <c r="G1" s="1" t="inlineStr">
        <is>
          <t>LEVAMOUNT</t>
        </is>
      </c>
      <c r="H1" s="2" t="n">
        <v>15</v>
      </c>
    </row>
    <row r="2">
      <c r="A2" s="1" t="inlineStr">
        <is>
          <t>INITIAL_CAPITAL</t>
        </is>
      </c>
      <c r="B2" s="2" t="n">
        <v>1500000</v>
      </c>
      <c r="C2" s="1" t="inlineStr">
        <is>
          <t>COMMISSION</t>
        </is>
      </c>
      <c r="D2" s="2" t="n">
        <v>2.5</v>
      </c>
      <c r="E2" s="1" t="inlineStr">
        <is>
          <t>SLIPPAGE</t>
        </is>
      </c>
      <c r="F2" s="2" t="n">
        <v>0.25</v>
      </c>
      <c r="G2" s="1" t="inlineStr">
        <is>
          <t>MULTIPLIER</t>
        </is>
      </c>
      <c r="H2" s="2" t="n">
        <v>50</v>
      </c>
    </row>
    <row r="3">
      <c r="A3" s="1" t="inlineStr">
        <is>
          <t>MIN_BARS</t>
        </is>
      </c>
      <c r="B3" s="2" t="n">
        <v>8</v>
      </c>
    </row>
    <row r="5">
      <c r="A5" s="3" t="inlineStr">
        <is>
          <t>Row</t>
        </is>
      </c>
      <c r="B5" s="3" t="inlineStr">
        <is>
          <t>Date</t>
        </is>
      </c>
      <c r="C5" s="3" t="inlineStr">
        <is>
          <t>Open</t>
        </is>
      </c>
      <c r="D5" s="3" t="inlineStr">
        <is>
          <t>High</t>
        </is>
      </c>
      <c r="E5" s="3" t="inlineStr">
        <is>
          <t>Low</t>
        </is>
      </c>
      <c r="F5" s="3" t="inlineStr">
        <is>
          <t>Close</t>
        </is>
      </c>
      <c r="G5" s="3" t="inlineStr">
        <is>
          <t>Volume</t>
        </is>
      </c>
      <c r="H5" s="3" t="inlineStr">
        <is>
          <t>Change</t>
        </is>
      </c>
      <c r="I5" s="3" t="inlineStr">
        <is>
          <t>Indicator</t>
        </is>
      </c>
      <c r="J5" s="3" t="inlineStr">
        <is>
          <t>Raw_Lev</t>
        </is>
      </c>
      <c r="K5" s="3" t="inlineStr">
        <is>
          <t>Net_Lev</t>
        </is>
      </c>
      <c r="L5" s="3" t="inlineStr">
        <is>
          <t>Prev_Pos</t>
        </is>
      </c>
      <c r="M5" s="3" t="inlineStr">
        <is>
          <t>Prev_Entry</t>
        </is>
      </c>
      <c r="N5" s="3" t="inlineStr">
        <is>
          <t>Prev_Cash</t>
        </is>
      </c>
      <c r="O5" s="3" t="inlineStr">
        <is>
          <t>Prev_Equity</t>
        </is>
      </c>
      <c r="P5" s="3" t="inlineStr">
        <is>
          <t>Target_Value</t>
        </is>
      </c>
      <c r="Q5" s="3" t="inlineStr">
        <is>
          <t>Contract_Value</t>
        </is>
      </c>
      <c r="R5" s="3" t="inlineStr">
        <is>
          <t>Target_Qty</t>
        </is>
      </c>
      <c r="S5" s="3" t="inlineStr">
        <is>
          <t>Trade_Qty</t>
        </is>
      </c>
      <c r="T5" s="3" t="inlineStr">
        <is>
          <t>Action</t>
        </is>
      </c>
      <c r="U5" s="3" t="inlineStr">
        <is>
          <t>Fill_Price</t>
        </is>
      </c>
      <c r="V5" s="3" t="inlineStr">
        <is>
          <t>Is_Opening</t>
        </is>
      </c>
      <c r="W5" s="3" t="inlineStr">
        <is>
          <t>Is_Adding</t>
        </is>
      </c>
      <c r="X5" s="3" t="inlineStr">
        <is>
          <t>Is_Reducing</t>
        </is>
      </c>
      <c r="Y5" s="3" t="inlineStr">
        <is>
          <t>Is_Closing</t>
        </is>
      </c>
      <c r="Z5" s="3" t="inlineStr">
        <is>
          <t>Is_Flipping</t>
        </is>
      </c>
      <c r="AA5" s="3" t="inlineStr">
        <is>
          <t>Close_Qty</t>
        </is>
      </c>
      <c r="AB5" s="3" t="inlineStr">
        <is>
          <t>Close_PnL</t>
        </is>
      </c>
      <c r="AC5" s="3" t="inlineStr">
        <is>
          <t>New_Entry_Num</t>
        </is>
      </c>
      <c r="AD5" s="3" t="inlineStr">
        <is>
          <t>New_Entry_Den</t>
        </is>
      </c>
      <c r="AE5" s="3" t="inlineStr">
        <is>
          <t>New_Entry</t>
        </is>
      </c>
      <c r="AF5" s="3" t="inlineStr">
        <is>
          <t>Gross_PnL</t>
        </is>
      </c>
      <c r="AG5" s="3" t="inlineStr">
        <is>
          <t>Commission</t>
        </is>
      </c>
      <c r="AH5" s="3" t="inlineStr">
        <is>
          <t>Net_PnL</t>
        </is>
      </c>
      <c r="AI5" s="3" t="inlineStr">
        <is>
          <t>Position</t>
        </is>
      </c>
      <c r="AJ5" s="3" t="inlineStr">
        <is>
          <t>Entry_Price</t>
        </is>
      </c>
      <c r="AK5" s="3" t="inlineStr">
        <is>
          <t>Cash</t>
        </is>
      </c>
      <c r="AL5" s="3" t="inlineStr">
        <is>
          <t>Unrealized</t>
        </is>
      </c>
      <c r="AM5" s="3" t="inlineStr">
        <is>
          <t>Equity</t>
        </is>
      </c>
      <c r="AN5" s="3" t="inlineStr">
        <is>
          <t>Max_Equity</t>
        </is>
      </c>
      <c r="AO5" s="3" t="inlineStr">
        <is>
          <t>Drawdown_Pct</t>
        </is>
      </c>
    </row>
    <row r="6">
      <c r="A6" t="n">
        <v>1</v>
      </c>
      <c r="B6" s="4" t="n">
        <v>45838.30208333334</v>
      </c>
      <c r="C6" t="n">
        <v>6359.25</v>
      </c>
      <c r="D6" t="n">
        <v>6359.5</v>
      </c>
      <c r="E6" t="n">
        <v>6355.25</v>
      </c>
      <c r="F6" t="n">
        <v>6356.75</v>
      </c>
      <c r="G6" t="n">
        <v>4593</v>
      </c>
      <c r="H6">
        <f>F6-C6</f>
        <v/>
      </c>
      <c r="I6" t="inlineStr"/>
      <c r="J6" t="inlineStr"/>
      <c r="K6" t="inlineStr"/>
      <c r="L6" t="n">
        <v>0</v>
      </c>
      <c r="M6" t="n">
        <v>0</v>
      </c>
      <c r="N6">
        <f>$B$2</f>
        <v/>
      </c>
      <c r="O6">
        <f>N6+L6*(F6-M6)*$H$2</f>
        <v/>
      </c>
      <c r="P6" t="inlineStr"/>
      <c r="Q6">
        <f>F6*$H$2</f>
        <v/>
      </c>
      <c r="R6" t="inlineStr"/>
      <c r="S6" t="n">
        <v>0</v>
      </c>
      <c r="T6" t="inlineStr">
        <is>
          <t>WAIT</t>
        </is>
      </c>
      <c r="U6" t="n">
        <v>0</v>
      </c>
      <c r="V6">
        <f>AND(L6=0,S6&lt;&gt;0)</f>
        <v/>
      </c>
      <c r="W6">
        <f>AND(S6&lt;&gt;0,SIGN(L6+S6)=SIGN(L6),ABS(L6+S6)&gt;ABS(L6),L6&lt;&gt;0)</f>
        <v/>
      </c>
      <c r="X6">
        <f>AND(S6&lt;&gt;0,SIGN(L6+S6)=SIGN(L6),ABS(L6+S6)&lt;ABS(L6))</f>
        <v/>
      </c>
      <c r="Y6">
        <f>AND(S6&lt;&gt;0,L6+S6=0)</f>
        <v/>
      </c>
      <c r="Z6">
        <f>AND(S6&lt;&gt;0,SIGN(L6+S6)&lt;&gt;SIGN(L6),L6+S6&lt;&gt;0,L6&lt;&gt;0)</f>
        <v/>
      </c>
      <c r="AA6">
        <f>IF(OR(X6,Y6),ABS(S6),IF(Z6,ABS(L6),0))</f>
        <v/>
      </c>
      <c r="AB6">
        <f>AA6*(U6-M6)*$H$2*IF(L6&lt;0,-1,1)</f>
        <v/>
      </c>
      <c r="AC6">
        <f>IF(W6,ABS(L6)*M6+ABS(S6)*U6,0)</f>
        <v/>
      </c>
      <c r="AD6">
        <f>IF(W6,ABS(L6+S6),0)</f>
        <v/>
      </c>
      <c r="AE6">
        <f>IF(V6,U6,IF(W6,AC6/AD6,IF(OR(X6,Y6),IF(Y6,0,M6),IF(Z6,U6,M6))))</f>
        <v/>
      </c>
      <c r="AF6">
        <f>AB6</f>
        <v/>
      </c>
      <c r="AG6">
        <f>ABS(S6)*$D$2</f>
        <v/>
      </c>
      <c r="AH6">
        <f>AF6-AG6</f>
        <v/>
      </c>
      <c r="AI6">
        <f>L6+S6</f>
        <v/>
      </c>
      <c r="AJ6">
        <f>AE6</f>
        <v/>
      </c>
      <c r="AK6">
        <f>N6+AH6</f>
        <v/>
      </c>
      <c r="AL6">
        <f>AI6*(F6-AJ6)*$H$2</f>
        <v/>
      </c>
      <c r="AM6">
        <f>AK6+AL6</f>
        <v/>
      </c>
      <c r="AN6">
        <f>AM6</f>
        <v/>
      </c>
      <c r="AO6">
        <f>(AN6-AM6)/AN6*100</f>
        <v/>
      </c>
    </row>
    <row r="7">
      <c r="A7" t="n">
        <v>2</v>
      </c>
      <c r="B7" s="4" t="n">
        <v>45839.30208333334</v>
      </c>
      <c r="C7" t="n">
        <v>6343.75</v>
      </c>
      <c r="D7" t="n">
        <v>6344</v>
      </c>
      <c r="E7" t="n">
        <v>6335.75</v>
      </c>
      <c r="F7" t="n">
        <v>6339.5</v>
      </c>
      <c r="G7" t="n">
        <v>9201</v>
      </c>
      <c r="H7">
        <f>F7-C7</f>
        <v/>
      </c>
      <c r="I7" t="inlineStr"/>
      <c r="J7" t="inlineStr"/>
      <c r="K7" t="inlineStr"/>
      <c r="L7">
        <f>AI6</f>
        <v/>
      </c>
      <c r="M7">
        <f>AJ6</f>
        <v/>
      </c>
      <c r="N7">
        <f>AK6</f>
        <v/>
      </c>
      <c r="O7">
        <f>N7+L7*(F7-M7)*$H$2</f>
        <v/>
      </c>
      <c r="P7" t="inlineStr"/>
      <c r="Q7">
        <f>F7*$H$2</f>
        <v/>
      </c>
      <c r="R7" t="inlineStr"/>
      <c r="S7" t="n">
        <v>0</v>
      </c>
      <c r="T7" t="inlineStr">
        <is>
          <t>WAIT</t>
        </is>
      </c>
      <c r="U7" t="n">
        <v>0</v>
      </c>
      <c r="V7">
        <f>AND(L7=0,S7&lt;&gt;0)</f>
        <v/>
      </c>
      <c r="W7">
        <f>AND(S7&lt;&gt;0,SIGN(L7+S7)=SIGN(L7),ABS(L7+S7)&gt;ABS(L7),L7&lt;&gt;0)</f>
        <v/>
      </c>
      <c r="X7">
        <f>AND(S7&lt;&gt;0,SIGN(L7+S7)=SIGN(L7),ABS(L7+S7)&lt;ABS(L7))</f>
        <v/>
      </c>
      <c r="Y7">
        <f>AND(S7&lt;&gt;0,L7+S7=0)</f>
        <v/>
      </c>
      <c r="Z7">
        <f>AND(S7&lt;&gt;0,SIGN(L7+S7)&lt;&gt;SIGN(L7),L7+S7&lt;&gt;0,L7&lt;&gt;0)</f>
        <v/>
      </c>
      <c r="AA7">
        <f>IF(OR(X7,Y7),ABS(S7),IF(Z7,ABS(L7),0))</f>
        <v/>
      </c>
      <c r="AB7">
        <f>AA7*(U7-M7)*$H$2*IF(L7&lt;0,-1,1)</f>
        <v/>
      </c>
      <c r="AC7">
        <f>IF(W7,ABS(L7)*M7+ABS(S7)*U7,0)</f>
        <v/>
      </c>
      <c r="AD7">
        <f>IF(W7,ABS(L7+S7),0)</f>
        <v/>
      </c>
      <c r="AE7">
        <f>IF(V7,U7,IF(W7,AC7/AD7,IF(OR(X7,Y7),IF(Y7,0,M7),IF(Z7,U7,M7))))</f>
        <v/>
      </c>
      <c r="AF7">
        <f>AB7</f>
        <v/>
      </c>
      <c r="AG7">
        <f>ABS(S7)*$D$2</f>
        <v/>
      </c>
      <c r="AH7">
        <f>AF7-AG7</f>
        <v/>
      </c>
      <c r="AI7">
        <f>L7+S7</f>
        <v/>
      </c>
      <c r="AJ7">
        <f>AE7</f>
        <v/>
      </c>
      <c r="AK7">
        <f>N7+AH7</f>
        <v/>
      </c>
      <c r="AL7">
        <f>AI7*(F7-AJ7)*$H$2</f>
        <v/>
      </c>
      <c r="AM7">
        <f>AK7+AL7</f>
        <v/>
      </c>
      <c r="AN7">
        <f>MAX(AN6,AM7)</f>
        <v/>
      </c>
      <c r="AO7">
        <f>(AN7-AM7)/AN7*100</f>
        <v/>
      </c>
    </row>
    <row r="8">
      <c r="A8" t="n">
        <v>3</v>
      </c>
      <c r="B8" s="4" t="n">
        <v>45840.30208333334</v>
      </c>
      <c r="C8" t="n">
        <v>6361.25</v>
      </c>
      <c r="D8" t="n">
        <v>6362.5</v>
      </c>
      <c r="E8" t="n">
        <v>6350.75</v>
      </c>
      <c r="F8" t="n">
        <v>6355.5</v>
      </c>
      <c r="G8" t="n">
        <v>14740</v>
      </c>
      <c r="H8">
        <f>F8-C8</f>
        <v/>
      </c>
      <c r="I8" t="inlineStr"/>
      <c r="J8" t="inlineStr"/>
      <c r="K8" t="inlineStr"/>
      <c r="L8">
        <f>AI7</f>
        <v/>
      </c>
      <c r="M8">
        <f>AJ7</f>
        <v/>
      </c>
      <c r="N8">
        <f>AK7</f>
        <v/>
      </c>
      <c r="O8">
        <f>N8+L8*(F8-M8)*$H$2</f>
        <v/>
      </c>
      <c r="P8" t="inlineStr"/>
      <c r="Q8">
        <f>F8*$H$2</f>
        <v/>
      </c>
      <c r="R8" t="inlineStr"/>
      <c r="S8" t="n">
        <v>0</v>
      </c>
      <c r="T8" t="inlineStr">
        <is>
          <t>WAIT</t>
        </is>
      </c>
      <c r="U8" t="n">
        <v>0</v>
      </c>
      <c r="V8">
        <f>AND(L8=0,S8&lt;&gt;0)</f>
        <v/>
      </c>
      <c r="W8">
        <f>AND(S8&lt;&gt;0,SIGN(L8+S8)=SIGN(L8),ABS(L8+S8)&gt;ABS(L8),L8&lt;&gt;0)</f>
        <v/>
      </c>
      <c r="X8">
        <f>AND(S8&lt;&gt;0,SIGN(L8+S8)=SIGN(L8),ABS(L8+S8)&lt;ABS(L8))</f>
        <v/>
      </c>
      <c r="Y8">
        <f>AND(S8&lt;&gt;0,L8+S8=0)</f>
        <v/>
      </c>
      <c r="Z8">
        <f>AND(S8&lt;&gt;0,SIGN(L8+S8)&lt;&gt;SIGN(L8),L8+S8&lt;&gt;0,L8&lt;&gt;0)</f>
        <v/>
      </c>
      <c r="AA8">
        <f>IF(OR(X8,Y8),ABS(S8),IF(Z8,ABS(L8),0))</f>
        <v/>
      </c>
      <c r="AB8">
        <f>AA8*(U8-M8)*$H$2*IF(L8&lt;0,-1,1)</f>
        <v/>
      </c>
      <c r="AC8">
        <f>IF(W8,ABS(L8)*M8+ABS(S8)*U8,0)</f>
        <v/>
      </c>
      <c r="AD8">
        <f>IF(W8,ABS(L8+S8),0)</f>
        <v/>
      </c>
      <c r="AE8">
        <f>IF(V8,U8,IF(W8,AC8/AD8,IF(OR(X8,Y8),IF(Y8,0,M8),IF(Z8,U8,M8))))</f>
        <v/>
      </c>
      <c r="AF8">
        <f>AB8</f>
        <v/>
      </c>
      <c r="AG8">
        <f>ABS(S8)*$D$2</f>
        <v/>
      </c>
      <c r="AH8">
        <f>AF8-AG8</f>
        <v/>
      </c>
      <c r="AI8">
        <f>L8+S8</f>
        <v/>
      </c>
      <c r="AJ8">
        <f>AE8</f>
        <v/>
      </c>
      <c r="AK8">
        <f>N8+AH8</f>
        <v/>
      </c>
      <c r="AL8">
        <f>AI8*(F8-AJ8)*$H$2</f>
        <v/>
      </c>
      <c r="AM8">
        <f>AK8+AL8</f>
        <v/>
      </c>
      <c r="AN8">
        <f>MAX(AN7,AM8)</f>
        <v/>
      </c>
      <c r="AO8">
        <f>(AN8-AM8)/AN8*100</f>
        <v/>
      </c>
    </row>
    <row r="9">
      <c r="A9" t="n">
        <v>4</v>
      </c>
      <c r="B9" s="4" t="n">
        <v>45841.30208333334</v>
      </c>
      <c r="C9" t="n">
        <v>6390.25</v>
      </c>
      <c r="D9" t="n">
        <v>6391</v>
      </c>
      <c r="E9" t="n">
        <v>6388</v>
      </c>
      <c r="F9" t="n">
        <v>6390.75</v>
      </c>
      <c r="G9" t="n">
        <v>5154</v>
      </c>
      <c r="H9">
        <f>F9-C9</f>
        <v/>
      </c>
      <c r="I9" t="inlineStr"/>
      <c r="J9" t="inlineStr"/>
      <c r="K9" t="inlineStr"/>
      <c r="L9">
        <f>AI8</f>
        <v/>
      </c>
      <c r="M9">
        <f>AJ8</f>
        <v/>
      </c>
      <c r="N9">
        <f>AK8</f>
        <v/>
      </c>
      <c r="O9">
        <f>N9+L9*(F9-M9)*$H$2</f>
        <v/>
      </c>
      <c r="P9" t="inlineStr"/>
      <c r="Q9">
        <f>F9*$H$2</f>
        <v/>
      </c>
      <c r="R9" t="inlineStr"/>
      <c r="S9" t="n">
        <v>0</v>
      </c>
      <c r="T9" t="inlineStr">
        <is>
          <t>WAIT</t>
        </is>
      </c>
      <c r="U9" t="n">
        <v>0</v>
      </c>
      <c r="V9">
        <f>AND(L9=0,S9&lt;&gt;0)</f>
        <v/>
      </c>
      <c r="W9">
        <f>AND(S9&lt;&gt;0,SIGN(L9+S9)=SIGN(L9),ABS(L9+S9)&gt;ABS(L9),L9&lt;&gt;0)</f>
        <v/>
      </c>
      <c r="X9">
        <f>AND(S9&lt;&gt;0,SIGN(L9+S9)=SIGN(L9),ABS(L9+S9)&lt;ABS(L9))</f>
        <v/>
      </c>
      <c r="Y9">
        <f>AND(S9&lt;&gt;0,L9+S9=0)</f>
        <v/>
      </c>
      <c r="Z9">
        <f>AND(S9&lt;&gt;0,SIGN(L9+S9)&lt;&gt;SIGN(L9),L9+S9&lt;&gt;0,L9&lt;&gt;0)</f>
        <v/>
      </c>
      <c r="AA9">
        <f>IF(OR(X9,Y9),ABS(S9),IF(Z9,ABS(L9),0))</f>
        <v/>
      </c>
      <c r="AB9">
        <f>AA9*(U9-M9)*$H$2*IF(L9&lt;0,-1,1)</f>
        <v/>
      </c>
      <c r="AC9">
        <f>IF(W9,ABS(L9)*M9+ABS(S9)*U9,0)</f>
        <v/>
      </c>
      <c r="AD9">
        <f>IF(W9,ABS(L9+S9),0)</f>
        <v/>
      </c>
      <c r="AE9">
        <f>IF(V9,U9,IF(W9,AC9/AD9,IF(OR(X9,Y9),IF(Y9,0,M9),IF(Z9,U9,M9))))</f>
        <v/>
      </c>
      <c r="AF9">
        <f>AB9</f>
        <v/>
      </c>
      <c r="AG9">
        <f>ABS(S9)*$D$2</f>
        <v/>
      </c>
      <c r="AH9">
        <f>AF9-AG9</f>
        <v/>
      </c>
      <c r="AI9">
        <f>L9+S9</f>
        <v/>
      </c>
      <c r="AJ9">
        <f>AE9</f>
        <v/>
      </c>
      <c r="AK9">
        <f>N9+AH9</f>
        <v/>
      </c>
      <c r="AL9">
        <f>AI9*(F9-AJ9)*$H$2</f>
        <v/>
      </c>
      <c r="AM9">
        <f>AK9+AL9</f>
        <v/>
      </c>
      <c r="AN9">
        <f>MAX(AN8,AM9)</f>
        <v/>
      </c>
      <c r="AO9">
        <f>(AN9-AM9)/AN9*100</f>
        <v/>
      </c>
    </row>
    <row r="10">
      <c r="A10" t="n">
        <v>5</v>
      </c>
      <c r="B10" s="4" t="n">
        <v>45842.30208333334</v>
      </c>
      <c r="C10" t="n">
        <v>6395.5</v>
      </c>
      <c r="D10" t="n">
        <v>6395.75</v>
      </c>
      <c r="E10" t="n">
        <v>6391.75</v>
      </c>
      <c r="F10" t="n">
        <v>6394.25</v>
      </c>
      <c r="G10" t="n">
        <v>1519</v>
      </c>
      <c r="H10">
        <f>F10-C10</f>
        <v/>
      </c>
      <c r="I10" t="inlineStr"/>
      <c r="J10" t="inlineStr"/>
      <c r="K10" t="inlineStr"/>
      <c r="L10">
        <f>AI9</f>
        <v/>
      </c>
      <c r="M10">
        <f>AJ9</f>
        <v/>
      </c>
      <c r="N10">
        <f>AK9</f>
        <v/>
      </c>
      <c r="O10">
        <f>N10+L10*(F10-M10)*$H$2</f>
        <v/>
      </c>
      <c r="P10" t="inlineStr"/>
      <c r="Q10">
        <f>F10*$H$2</f>
        <v/>
      </c>
      <c r="R10" t="inlineStr"/>
      <c r="S10" t="n">
        <v>0</v>
      </c>
      <c r="T10" t="inlineStr">
        <is>
          <t>WAIT</t>
        </is>
      </c>
      <c r="U10" t="n">
        <v>0</v>
      </c>
      <c r="V10">
        <f>AND(L10=0,S10&lt;&gt;0)</f>
        <v/>
      </c>
      <c r="W10">
        <f>AND(S10&lt;&gt;0,SIGN(L10+S10)=SIGN(L10),ABS(L10+S10)&gt;ABS(L10),L10&lt;&gt;0)</f>
        <v/>
      </c>
      <c r="X10">
        <f>AND(S10&lt;&gt;0,SIGN(L10+S10)=SIGN(L10),ABS(L10+S10)&lt;ABS(L10))</f>
        <v/>
      </c>
      <c r="Y10">
        <f>AND(S10&lt;&gt;0,L10+S10=0)</f>
        <v/>
      </c>
      <c r="Z10">
        <f>AND(S10&lt;&gt;0,SIGN(L10+S10)&lt;&gt;SIGN(L10),L10+S10&lt;&gt;0,L10&lt;&gt;0)</f>
        <v/>
      </c>
      <c r="AA10">
        <f>IF(OR(X10,Y10),ABS(S10),IF(Z10,ABS(L10),0))</f>
        <v/>
      </c>
      <c r="AB10">
        <f>AA10*(U10-M10)*$H$2*IF(L10&lt;0,-1,1)</f>
        <v/>
      </c>
      <c r="AC10">
        <f>IF(W10,ABS(L10)*M10+ABS(S10)*U10,0)</f>
        <v/>
      </c>
      <c r="AD10">
        <f>IF(W10,ABS(L10+S10),0)</f>
        <v/>
      </c>
      <c r="AE10">
        <f>IF(V10,U10,IF(W10,AC10/AD10,IF(OR(X10,Y10),IF(Y10,0,M10),IF(Z10,U10,M10))))</f>
        <v/>
      </c>
      <c r="AF10">
        <f>AB10</f>
        <v/>
      </c>
      <c r="AG10">
        <f>ABS(S10)*$D$2</f>
        <v/>
      </c>
      <c r="AH10">
        <f>AF10-AG10</f>
        <v/>
      </c>
      <c r="AI10">
        <f>L10+S10</f>
        <v/>
      </c>
      <c r="AJ10">
        <f>AE10</f>
        <v/>
      </c>
      <c r="AK10">
        <f>N10+AH10</f>
        <v/>
      </c>
      <c r="AL10">
        <f>AI10*(F10-AJ10)*$H$2</f>
        <v/>
      </c>
      <c r="AM10">
        <f>AK10+AL10</f>
        <v/>
      </c>
      <c r="AN10">
        <f>MAX(AN9,AM10)</f>
        <v/>
      </c>
      <c r="AO10">
        <f>(AN10-AM10)/AN10*100</f>
        <v/>
      </c>
    </row>
    <row r="11">
      <c r="A11" t="n">
        <v>6</v>
      </c>
      <c r="B11" s="4" t="n">
        <v>45845.30208333334</v>
      </c>
      <c r="C11" t="n">
        <v>6423.5</v>
      </c>
      <c r="D11" t="n">
        <v>6425</v>
      </c>
      <c r="E11" t="n">
        <v>6419.5</v>
      </c>
      <c r="F11" t="n">
        <v>6421</v>
      </c>
      <c r="G11" t="n">
        <v>5646</v>
      </c>
      <c r="H11">
        <f>F11-C11</f>
        <v/>
      </c>
      <c r="I11" t="inlineStr"/>
      <c r="J11" t="inlineStr"/>
      <c r="K11" t="inlineStr"/>
      <c r="L11">
        <f>AI10</f>
        <v/>
      </c>
      <c r="M11">
        <f>AJ10</f>
        <v/>
      </c>
      <c r="N11">
        <f>AK10</f>
        <v/>
      </c>
      <c r="O11">
        <f>N11+L11*(F11-M11)*$H$2</f>
        <v/>
      </c>
      <c r="P11" t="inlineStr"/>
      <c r="Q11">
        <f>F11*$H$2</f>
        <v/>
      </c>
      <c r="R11" t="inlineStr"/>
      <c r="S11" t="n">
        <v>0</v>
      </c>
      <c r="T11" t="inlineStr">
        <is>
          <t>WAIT</t>
        </is>
      </c>
      <c r="U11" t="n">
        <v>0</v>
      </c>
      <c r="V11">
        <f>AND(L11=0,S11&lt;&gt;0)</f>
        <v/>
      </c>
      <c r="W11">
        <f>AND(S11&lt;&gt;0,SIGN(L11+S11)=SIGN(L11),ABS(L11+S11)&gt;ABS(L11),L11&lt;&gt;0)</f>
        <v/>
      </c>
      <c r="X11">
        <f>AND(S11&lt;&gt;0,SIGN(L11+S11)=SIGN(L11),ABS(L11+S11)&lt;ABS(L11))</f>
        <v/>
      </c>
      <c r="Y11">
        <f>AND(S11&lt;&gt;0,L11+S11=0)</f>
        <v/>
      </c>
      <c r="Z11">
        <f>AND(S11&lt;&gt;0,SIGN(L11+S11)&lt;&gt;SIGN(L11),L11+S11&lt;&gt;0,L11&lt;&gt;0)</f>
        <v/>
      </c>
      <c r="AA11">
        <f>IF(OR(X11,Y11),ABS(S11),IF(Z11,ABS(L11),0))</f>
        <v/>
      </c>
      <c r="AB11">
        <f>AA11*(U11-M11)*$H$2*IF(L11&lt;0,-1,1)</f>
        <v/>
      </c>
      <c r="AC11">
        <f>IF(W11,ABS(L11)*M11+ABS(S11)*U11,0)</f>
        <v/>
      </c>
      <c r="AD11">
        <f>IF(W11,ABS(L11+S11),0)</f>
        <v/>
      </c>
      <c r="AE11">
        <f>IF(V11,U11,IF(W11,AC11/AD11,IF(OR(X11,Y11),IF(Y11,0,M11),IF(Z11,U11,M11))))</f>
        <v/>
      </c>
      <c r="AF11">
        <f>AB11</f>
        <v/>
      </c>
      <c r="AG11">
        <f>ABS(S11)*$D$2</f>
        <v/>
      </c>
      <c r="AH11">
        <f>AF11-AG11</f>
        <v/>
      </c>
      <c r="AI11">
        <f>L11+S11</f>
        <v/>
      </c>
      <c r="AJ11">
        <f>AE11</f>
        <v/>
      </c>
      <c r="AK11">
        <f>N11+AH11</f>
        <v/>
      </c>
      <c r="AL11">
        <f>AI11*(F11-AJ11)*$H$2</f>
        <v/>
      </c>
      <c r="AM11">
        <f>AK11+AL11</f>
        <v/>
      </c>
      <c r="AN11">
        <f>MAX(AN10,AM11)</f>
        <v/>
      </c>
      <c r="AO11">
        <f>(AN11-AM11)/AN11*100</f>
        <v/>
      </c>
    </row>
    <row r="12">
      <c r="A12" t="n">
        <v>7</v>
      </c>
      <c r="B12" s="4" t="n">
        <v>45846.30208333334</v>
      </c>
      <c r="C12" t="n">
        <v>6392.25</v>
      </c>
      <c r="D12" t="n">
        <v>6393.5</v>
      </c>
      <c r="E12" t="n">
        <v>6391</v>
      </c>
      <c r="F12" t="n">
        <v>6391.75</v>
      </c>
      <c r="G12" t="n">
        <v>2444</v>
      </c>
      <c r="H12">
        <f>F12-C12</f>
        <v/>
      </c>
      <c r="I12" t="inlineStr"/>
      <c r="J12" t="inlineStr"/>
      <c r="K12" t="inlineStr"/>
      <c r="L12">
        <f>AI11</f>
        <v/>
      </c>
      <c r="M12">
        <f>AJ11</f>
        <v/>
      </c>
      <c r="N12">
        <f>AK11</f>
        <v/>
      </c>
      <c r="O12">
        <f>N12+L12*(F12-M12)*$H$2</f>
        <v/>
      </c>
      <c r="P12" t="inlineStr"/>
      <c r="Q12">
        <f>F12*$H$2</f>
        <v/>
      </c>
      <c r="R12" t="inlineStr"/>
      <c r="S12" t="n">
        <v>0</v>
      </c>
      <c r="T12" t="inlineStr">
        <is>
          <t>WAIT</t>
        </is>
      </c>
      <c r="U12" t="n">
        <v>0</v>
      </c>
      <c r="V12">
        <f>AND(L12=0,S12&lt;&gt;0)</f>
        <v/>
      </c>
      <c r="W12">
        <f>AND(S12&lt;&gt;0,SIGN(L12+S12)=SIGN(L12),ABS(L12+S12)&gt;ABS(L12),L12&lt;&gt;0)</f>
        <v/>
      </c>
      <c r="X12">
        <f>AND(S12&lt;&gt;0,SIGN(L12+S12)=SIGN(L12),ABS(L12+S12)&lt;ABS(L12))</f>
        <v/>
      </c>
      <c r="Y12">
        <f>AND(S12&lt;&gt;0,L12+S12=0)</f>
        <v/>
      </c>
      <c r="Z12">
        <f>AND(S12&lt;&gt;0,SIGN(L12+S12)&lt;&gt;SIGN(L12),L12+S12&lt;&gt;0,L12&lt;&gt;0)</f>
        <v/>
      </c>
      <c r="AA12">
        <f>IF(OR(X12,Y12),ABS(S12),IF(Z12,ABS(L12),0))</f>
        <v/>
      </c>
      <c r="AB12">
        <f>AA12*(U12-M12)*$H$2*IF(L12&lt;0,-1,1)</f>
        <v/>
      </c>
      <c r="AC12">
        <f>IF(W12,ABS(L12)*M12+ABS(S12)*U12,0)</f>
        <v/>
      </c>
      <c r="AD12">
        <f>IF(W12,ABS(L12+S12),0)</f>
        <v/>
      </c>
      <c r="AE12">
        <f>IF(V12,U12,IF(W12,AC12/AD12,IF(OR(X12,Y12),IF(Y12,0,M12),IF(Z12,U12,M12))))</f>
        <v/>
      </c>
      <c r="AF12">
        <f>AB12</f>
        <v/>
      </c>
      <c r="AG12">
        <f>ABS(S12)*$D$2</f>
        <v/>
      </c>
      <c r="AH12">
        <f>AF12-AG12</f>
        <v/>
      </c>
      <c r="AI12">
        <f>L12+S12</f>
        <v/>
      </c>
      <c r="AJ12">
        <f>AE12</f>
        <v/>
      </c>
      <c r="AK12">
        <f>N12+AH12</f>
        <v/>
      </c>
      <c r="AL12">
        <f>AI12*(F12-AJ12)*$H$2</f>
        <v/>
      </c>
      <c r="AM12">
        <f>AK12+AL12</f>
        <v/>
      </c>
      <c r="AN12">
        <f>MAX(AN11,AM12)</f>
        <v/>
      </c>
      <c r="AO12">
        <f>(AN12-AM12)/AN12*100</f>
        <v/>
      </c>
    </row>
    <row r="13">
      <c r="A13" t="n">
        <v>8</v>
      </c>
      <c r="B13" s="4" t="n">
        <v>45847.30208333334</v>
      </c>
      <c r="C13" t="n">
        <v>6395.75</v>
      </c>
      <c r="D13" t="n">
        <v>6398</v>
      </c>
      <c r="E13" t="n">
        <v>6394.5</v>
      </c>
      <c r="F13" t="n">
        <v>6396.75</v>
      </c>
      <c r="G13" t="n">
        <v>3593</v>
      </c>
      <c r="H13">
        <f>F13-C13</f>
        <v/>
      </c>
      <c r="I13">
        <f>AVERAGE(H6:H10)</f>
        <v/>
      </c>
      <c r="J13">
        <f>I13+$F$1</f>
        <v/>
      </c>
      <c r="K13">
        <f>MIN(MAX(J13,-$H$1),$H$1)</f>
        <v/>
      </c>
      <c r="L13">
        <f>AI12</f>
        <v/>
      </c>
      <c r="M13">
        <f>AJ12</f>
        <v/>
      </c>
      <c r="N13">
        <f>AK12</f>
        <v/>
      </c>
      <c r="O13">
        <f>N13+L13*(F13-M13)*$H$2</f>
        <v/>
      </c>
      <c r="P13">
        <f>K13*O13</f>
        <v/>
      </c>
      <c r="Q13">
        <f>F13*$H$2</f>
        <v/>
      </c>
      <c r="R13">
        <f>INT(P13/Q13)</f>
        <v/>
      </c>
      <c r="S13">
        <f>R13-L13</f>
        <v/>
      </c>
      <c r="T13">
        <f>IF(S13&gt;0,"BUY",IF(S13&lt;0,"SELL","HOLD"))</f>
        <v/>
      </c>
      <c r="U13">
        <f>IF(S13=0,0,F13+IF(S13&gt;0,$F$2,-$F$2))</f>
        <v/>
      </c>
      <c r="V13">
        <f>AND(L13=0,S13&lt;&gt;0)</f>
        <v/>
      </c>
      <c r="W13">
        <f>AND(S13&lt;&gt;0,SIGN(L13+S13)=SIGN(L13),ABS(L13+S13)&gt;ABS(L13),L13&lt;&gt;0)</f>
        <v/>
      </c>
      <c r="X13">
        <f>AND(S13&lt;&gt;0,SIGN(L13+S13)=SIGN(L13),ABS(L13+S13)&lt;ABS(L13))</f>
        <v/>
      </c>
      <c r="Y13">
        <f>AND(S13&lt;&gt;0,L13+S13=0)</f>
        <v/>
      </c>
      <c r="Z13">
        <f>AND(S13&lt;&gt;0,SIGN(L13+S13)&lt;&gt;SIGN(L13),L13+S13&lt;&gt;0,L13&lt;&gt;0)</f>
        <v/>
      </c>
      <c r="AA13">
        <f>IF(OR(X13,Y13),ABS(S13),IF(Z13,ABS(L13),0))</f>
        <v/>
      </c>
      <c r="AB13">
        <f>AA13*(U13-M13)*$H$2*IF(L13&lt;0,-1,1)</f>
        <v/>
      </c>
      <c r="AC13">
        <f>IF(W13,ABS(L13)*M13+ABS(S13)*U13,0)</f>
        <v/>
      </c>
      <c r="AD13">
        <f>IF(W13,ABS(L13+S13),0)</f>
        <v/>
      </c>
      <c r="AE13">
        <f>IF(V13,U13,IF(W13,AC13/AD13,IF(OR(X13,Y13),IF(Y13,0,M13),IF(Z13,U13,M13))))</f>
        <v/>
      </c>
      <c r="AF13">
        <f>AB13</f>
        <v/>
      </c>
      <c r="AG13">
        <f>ABS(S13)*$D$2</f>
        <v/>
      </c>
      <c r="AH13">
        <f>AF13-AG13</f>
        <v/>
      </c>
      <c r="AI13">
        <f>L13+S13</f>
        <v/>
      </c>
      <c r="AJ13">
        <f>AE13</f>
        <v/>
      </c>
      <c r="AK13">
        <f>N13+AH13</f>
        <v/>
      </c>
      <c r="AL13">
        <f>AI13*(F13-AJ13)*$H$2</f>
        <v/>
      </c>
      <c r="AM13">
        <f>AK13+AL13</f>
        <v/>
      </c>
      <c r="AN13">
        <f>MAX(AN12,AM13)</f>
        <v/>
      </c>
      <c r="AO13">
        <f>(AN13-AM13)/AN13*100</f>
        <v/>
      </c>
    </row>
    <row r="14">
      <c r="A14" t="n">
        <v>9</v>
      </c>
      <c r="B14" s="4" t="n">
        <v>45848.30208333334</v>
      </c>
      <c r="C14" t="n">
        <v>6417.5</v>
      </c>
      <c r="D14" t="n">
        <v>6417.75</v>
      </c>
      <c r="E14" t="n">
        <v>6412</v>
      </c>
      <c r="F14" t="n">
        <v>6414.5</v>
      </c>
      <c r="G14" t="n">
        <v>4851</v>
      </c>
      <c r="H14">
        <f>F14-C14</f>
        <v/>
      </c>
      <c r="I14">
        <f>AVERAGE(H7:H11)</f>
        <v/>
      </c>
      <c r="J14">
        <f>I14+$F$1</f>
        <v/>
      </c>
      <c r="K14">
        <f>MIN(MAX(J14,-$H$1),$H$1)</f>
        <v/>
      </c>
      <c r="L14">
        <f>AI13</f>
        <v/>
      </c>
      <c r="M14">
        <f>AJ13</f>
        <v/>
      </c>
      <c r="N14">
        <f>AK13</f>
        <v/>
      </c>
      <c r="O14">
        <f>N14+L14*(F14-M14)*$H$2</f>
        <v/>
      </c>
      <c r="P14">
        <f>K14*O14</f>
        <v/>
      </c>
      <c r="Q14">
        <f>F14*$H$2</f>
        <v/>
      </c>
      <c r="R14">
        <f>INT(P14/Q14)</f>
        <v/>
      </c>
      <c r="S14">
        <f>R14-L14</f>
        <v/>
      </c>
      <c r="T14">
        <f>IF(S14&gt;0,"BUY",IF(S14&lt;0,"SELL","HOLD"))</f>
        <v/>
      </c>
      <c r="U14">
        <f>IF(S14=0,0,F14+IF(S14&gt;0,$F$2,-$F$2))</f>
        <v/>
      </c>
      <c r="V14">
        <f>AND(L14=0,S14&lt;&gt;0)</f>
        <v/>
      </c>
      <c r="W14">
        <f>AND(S14&lt;&gt;0,SIGN(L14+S14)=SIGN(L14),ABS(L14+S14)&gt;ABS(L14),L14&lt;&gt;0)</f>
        <v/>
      </c>
      <c r="X14">
        <f>AND(S14&lt;&gt;0,SIGN(L14+S14)=SIGN(L14),ABS(L14+S14)&lt;ABS(L14))</f>
        <v/>
      </c>
      <c r="Y14">
        <f>AND(S14&lt;&gt;0,L14+S14=0)</f>
        <v/>
      </c>
      <c r="Z14">
        <f>AND(S14&lt;&gt;0,SIGN(L14+S14)&lt;&gt;SIGN(L14),L14+S14&lt;&gt;0,L14&lt;&gt;0)</f>
        <v/>
      </c>
      <c r="AA14">
        <f>IF(OR(X14,Y14),ABS(S14),IF(Z14,ABS(L14),0))</f>
        <v/>
      </c>
      <c r="AB14">
        <f>AA14*(U14-M14)*$H$2*IF(L14&lt;0,-1,1)</f>
        <v/>
      </c>
      <c r="AC14">
        <f>IF(W14,ABS(L14)*M14+ABS(S14)*U14,0)</f>
        <v/>
      </c>
      <c r="AD14">
        <f>IF(W14,ABS(L14+S14),0)</f>
        <v/>
      </c>
      <c r="AE14">
        <f>IF(V14,U14,IF(W14,AC14/AD14,IF(OR(X14,Y14),IF(Y14,0,M14),IF(Z14,U14,M14))))</f>
        <v/>
      </c>
      <c r="AF14">
        <f>AB14</f>
        <v/>
      </c>
      <c r="AG14">
        <f>ABS(S14)*$D$2</f>
        <v/>
      </c>
      <c r="AH14">
        <f>AF14-AG14</f>
        <v/>
      </c>
      <c r="AI14">
        <f>L14+S14</f>
        <v/>
      </c>
      <c r="AJ14">
        <f>AE14</f>
        <v/>
      </c>
      <c r="AK14">
        <f>N14+AH14</f>
        <v/>
      </c>
      <c r="AL14">
        <f>AI14*(F14-AJ14)*$H$2</f>
        <v/>
      </c>
      <c r="AM14">
        <f>AK14+AL14</f>
        <v/>
      </c>
      <c r="AN14">
        <f>MAX(AN13,AM14)</f>
        <v/>
      </c>
      <c r="AO14">
        <f>(AN14-AM14)/AN14*100</f>
        <v/>
      </c>
    </row>
    <row r="15">
      <c r="A15" t="n">
        <v>10</v>
      </c>
      <c r="B15" s="4" t="n">
        <v>45849.30208333334</v>
      </c>
      <c r="C15" t="n">
        <v>6402.25</v>
      </c>
      <c r="D15" t="n">
        <v>6402.25</v>
      </c>
      <c r="E15" t="n">
        <v>6394.75</v>
      </c>
      <c r="F15" t="n">
        <v>6395.75</v>
      </c>
      <c r="G15" t="n">
        <v>4316</v>
      </c>
      <c r="H15">
        <f>F15-C15</f>
        <v/>
      </c>
      <c r="I15">
        <f>AVERAGE(H8:H12)</f>
        <v/>
      </c>
      <c r="J15">
        <f>I15+$F$1</f>
        <v/>
      </c>
      <c r="K15">
        <f>MIN(MAX(J15,-$H$1),$H$1)</f>
        <v/>
      </c>
      <c r="L15">
        <f>AI14</f>
        <v/>
      </c>
      <c r="M15">
        <f>AJ14</f>
        <v/>
      </c>
      <c r="N15">
        <f>AK14</f>
        <v/>
      </c>
      <c r="O15">
        <f>N15+L15*(F15-M15)*$H$2</f>
        <v/>
      </c>
      <c r="P15">
        <f>K15*O15</f>
        <v/>
      </c>
      <c r="Q15">
        <f>F15*$H$2</f>
        <v/>
      </c>
      <c r="R15">
        <f>INT(P15/Q15)</f>
        <v/>
      </c>
      <c r="S15">
        <f>R15-L15</f>
        <v/>
      </c>
      <c r="T15">
        <f>IF(S15&gt;0,"BUY",IF(S15&lt;0,"SELL","HOLD"))</f>
        <v/>
      </c>
      <c r="U15">
        <f>IF(S15=0,0,F15+IF(S15&gt;0,$F$2,-$F$2))</f>
        <v/>
      </c>
      <c r="V15">
        <f>AND(L15=0,S15&lt;&gt;0)</f>
        <v/>
      </c>
      <c r="W15">
        <f>AND(S15&lt;&gt;0,SIGN(L15+S15)=SIGN(L15),ABS(L15+S15)&gt;ABS(L15),L15&lt;&gt;0)</f>
        <v/>
      </c>
      <c r="X15">
        <f>AND(S15&lt;&gt;0,SIGN(L15+S15)=SIGN(L15),ABS(L15+S15)&lt;ABS(L15))</f>
        <v/>
      </c>
      <c r="Y15">
        <f>AND(S15&lt;&gt;0,L15+S15=0)</f>
        <v/>
      </c>
      <c r="Z15">
        <f>AND(S15&lt;&gt;0,SIGN(L15+S15)&lt;&gt;SIGN(L15),L15+S15&lt;&gt;0,L15&lt;&gt;0)</f>
        <v/>
      </c>
      <c r="AA15">
        <f>IF(OR(X15,Y15),ABS(S15),IF(Z15,ABS(L15),0))</f>
        <v/>
      </c>
      <c r="AB15">
        <f>AA15*(U15-M15)*$H$2*IF(L15&lt;0,-1,1)</f>
        <v/>
      </c>
      <c r="AC15">
        <f>IF(W15,ABS(L15)*M15+ABS(S15)*U15,0)</f>
        <v/>
      </c>
      <c r="AD15">
        <f>IF(W15,ABS(L15+S15),0)</f>
        <v/>
      </c>
      <c r="AE15">
        <f>IF(V15,U15,IF(W15,AC15/AD15,IF(OR(X15,Y15),IF(Y15,0,M15),IF(Z15,U15,M15))))</f>
        <v/>
      </c>
      <c r="AF15">
        <f>AB15</f>
        <v/>
      </c>
      <c r="AG15">
        <f>ABS(S15)*$D$2</f>
        <v/>
      </c>
      <c r="AH15">
        <f>AF15-AG15</f>
        <v/>
      </c>
      <c r="AI15">
        <f>L15+S15</f>
        <v/>
      </c>
      <c r="AJ15">
        <f>AE15</f>
        <v/>
      </c>
      <c r="AK15">
        <f>N15+AH15</f>
        <v/>
      </c>
      <c r="AL15">
        <f>AI15*(F15-AJ15)*$H$2</f>
        <v/>
      </c>
      <c r="AM15">
        <f>AK15+AL15</f>
        <v/>
      </c>
      <c r="AN15">
        <f>MAX(AN14,AM15)</f>
        <v/>
      </c>
      <c r="AO15">
        <f>(AN15-AM15)/AN15*100</f>
        <v/>
      </c>
    </row>
    <row r="16">
      <c r="A16" t="n">
        <v>11</v>
      </c>
      <c r="B16" s="4" t="n">
        <v>45852.30208333334</v>
      </c>
      <c r="C16" t="n">
        <v>6392.75</v>
      </c>
      <c r="D16" t="n">
        <v>6395.25</v>
      </c>
      <c r="E16" t="n">
        <v>6391.75</v>
      </c>
      <c r="F16" t="n">
        <v>6395</v>
      </c>
      <c r="G16" t="n">
        <v>2737</v>
      </c>
      <c r="H16">
        <f>F16-C16</f>
        <v/>
      </c>
      <c r="I16">
        <f>AVERAGE(H9:H13)</f>
        <v/>
      </c>
      <c r="J16">
        <f>I16+$F$1</f>
        <v/>
      </c>
      <c r="K16">
        <f>MIN(MAX(J16,-$H$1),$H$1)</f>
        <v/>
      </c>
      <c r="L16">
        <f>AI15</f>
        <v/>
      </c>
      <c r="M16">
        <f>AJ15</f>
        <v/>
      </c>
      <c r="N16">
        <f>AK15</f>
        <v/>
      </c>
      <c r="O16">
        <f>N16+L16*(F16-M16)*$H$2</f>
        <v/>
      </c>
      <c r="P16">
        <f>K16*O16</f>
        <v/>
      </c>
      <c r="Q16">
        <f>F16*$H$2</f>
        <v/>
      </c>
      <c r="R16">
        <f>INT(P16/Q16)</f>
        <v/>
      </c>
      <c r="S16">
        <f>R16-L16</f>
        <v/>
      </c>
      <c r="T16">
        <f>IF(S16&gt;0,"BUY",IF(S16&lt;0,"SELL","HOLD"))</f>
        <v/>
      </c>
      <c r="U16">
        <f>IF(S16=0,0,F16+IF(S16&gt;0,$F$2,-$F$2))</f>
        <v/>
      </c>
      <c r="V16">
        <f>AND(L16=0,S16&lt;&gt;0)</f>
        <v/>
      </c>
      <c r="W16">
        <f>AND(S16&lt;&gt;0,SIGN(L16+S16)=SIGN(L16),ABS(L16+S16)&gt;ABS(L16),L16&lt;&gt;0)</f>
        <v/>
      </c>
      <c r="X16">
        <f>AND(S16&lt;&gt;0,SIGN(L16+S16)=SIGN(L16),ABS(L16+S16)&lt;ABS(L16))</f>
        <v/>
      </c>
      <c r="Y16">
        <f>AND(S16&lt;&gt;0,L16+S16=0)</f>
        <v/>
      </c>
      <c r="Z16">
        <f>AND(S16&lt;&gt;0,SIGN(L16+S16)&lt;&gt;SIGN(L16),L16+S16&lt;&gt;0,L16&lt;&gt;0)</f>
        <v/>
      </c>
      <c r="AA16">
        <f>IF(OR(X16,Y16),ABS(S16),IF(Z16,ABS(L16),0))</f>
        <v/>
      </c>
      <c r="AB16">
        <f>AA16*(U16-M16)*$H$2*IF(L16&lt;0,-1,1)</f>
        <v/>
      </c>
      <c r="AC16">
        <f>IF(W16,ABS(L16)*M16+ABS(S16)*U16,0)</f>
        <v/>
      </c>
      <c r="AD16">
        <f>IF(W16,ABS(L16+S16),0)</f>
        <v/>
      </c>
      <c r="AE16">
        <f>IF(V16,U16,IF(W16,AC16/AD16,IF(OR(X16,Y16),IF(Y16,0,M16),IF(Z16,U16,M16))))</f>
        <v/>
      </c>
      <c r="AF16">
        <f>AB16</f>
        <v/>
      </c>
      <c r="AG16">
        <f>ABS(S16)*$D$2</f>
        <v/>
      </c>
      <c r="AH16">
        <f>AF16-AG16</f>
        <v/>
      </c>
      <c r="AI16">
        <f>L16+S16</f>
        <v/>
      </c>
      <c r="AJ16">
        <f>AE16</f>
        <v/>
      </c>
      <c r="AK16">
        <f>N16+AH16</f>
        <v/>
      </c>
      <c r="AL16">
        <f>AI16*(F16-AJ16)*$H$2</f>
        <v/>
      </c>
      <c r="AM16">
        <f>AK16+AL16</f>
        <v/>
      </c>
      <c r="AN16">
        <f>MAX(AN15,AM16)</f>
        <v/>
      </c>
      <c r="AO16">
        <f>(AN16-AM16)/AN16*100</f>
        <v/>
      </c>
    </row>
    <row r="17">
      <c r="A17" t="n">
        <v>12</v>
      </c>
      <c r="B17" s="4" t="n">
        <v>45853.30208333334</v>
      </c>
      <c r="C17" t="n">
        <v>6440.25</v>
      </c>
      <c r="D17" t="n">
        <v>6440.25</v>
      </c>
      <c r="E17" t="n">
        <v>6435.25</v>
      </c>
      <c r="F17" t="n">
        <v>6439.25</v>
      </c>
      <c r="G17" t="n">
        <v>6492</v>
      </c>
      <c r="H17">
        <f>F17-C17</f>
        <v/>
      </c>
      <c r="I17">
        <f>AVERAGE(H10:H14)</f>
        <v/>
      </c>
      <c r="J17">
        <f>I17+$F$1</f>
        <v/>
      </c>
      <c r="K17">
        <f>MIN(MAX(J17,-$H$1),$H$1)</f>
        <v/>
      </c>
      <c r="L17">
        <f>AI16</f>
        <v/>
      </c>
      <c r="M17">
        <f>AJ16</f>
        <v/>
      </c>
      <c r="N17">
        <f>AK16</f>
        <v/>
      </c>
      <c r="O17">
        <f>N17+L17*(F17-M17)*$H$2</f>
        <v/>
      </c>
      <c r="P17">
        <f>K17*O17</f>
        <v/>
      </c>
      <c r="Q17">
        <f>F17*$H$2</f>
        <v/>
      </c>
      <c r="R17">
        <f>INT(P17/Q17)</f>
        <v/>
      </c>
      <c r="S17">
        <f>R17-L17</f>
        <v/>
      </c>
      <c r="T17">
        <f>IF(S17&gt;0,"BUY",IF(S17&lt;0,"SELL","HOLD"))</f>
        <v/>
      </c>
      <c r="U17">
        <f>IF(S17=0,0,F17+IF(S17&gt;0,$F$2,-$F$2))</f>
        <v/>
      </c>
      <c r="V17">
        <f>AND(L17=0,S17&lt;&gt;0)</f>
        <v/>
      </c>
      <c r="W17">
        <f>AND(S17&lt;&gt;0,SIGN(L17+S17)=SIGN(L17),ABS(L17+S17)&gt;ABS(L17),L17&lt;&gt;0)</f>
        <v/>
      </c>
      <c r="X17">
        <f>AND(S17&lt;&gt;0,SIGN(L17+S17)=SIGN(L17),ABS(L17+S17)&lt;ABS(L17))</f>
        <v/>
      </c>
      <c r="Y17">
        <f>AND(S17&lt;&gt;0,L17+S17=0)</f>
        <v/>
      </c>
      <c r="Z17">
        <f>AND(S17&lt;&gt;0,SIGN(L17+S17)&lt;&gt;SIGN(L17),L17+S17&lt;&gt;0,L17&lt;&gt;0)</f>
        <v/>
      </c>
      <c r="AA17">
        <f>IF(OR(X17,Y17),ABS(S17),IF(Z17,ABS(L17),0))</f>
        <v/>
      </c>
      <c r="AB17">
        <f>AA17*(U17-M17)*$H$2*IF(L17&lt;0,-1,1)</f>
        <v/>
      </c>
      <c r="AC17">
        <f>IF(W17,ABS(L17)*M17+ABS(S17)*U17,0)</f>
        <v/>
      </c>
      <c r="AD17">
        <f>IF(W17,ABS(L17+S17),0)</f>
        <v/>
      </c>
      <c r="AE17">
        <f>IF(V17,U17,IF(W17,AC17/AD17,IF(OR(X17,Y17),IF(Y17,0,M17),IF(Z17,U17,M17))))</f>
        <v/>
      </c>
      <c r="AF17">
        <f>AB17</f>
        <v/>
      </c>
      <c r="AG17">
        <f>ABS(S17)*$D$2</f>
        <v/>
      </c>
      <c r="AH17">
        <f>AF17-AG17</f>
        <v/>
      </c>
      <c r="AI17">
        <f>L17+S17</f>
        <v/>
      </c>
      <c r="AJ17">
        <f>AE17</f>
        <v/>
      </c>
      <c r="AK17">
        <f>N17+AH17</f>
        <v/>
      </c>
      <c r="AL17">
        <f>AI17*(F17-AJ17)*$H$2</f>
        <v/>
      </c>
      <c r="AM17">
        <f>AK17+AL17</f>
        <v/>
      </c>
      <c r="AN17">
        <f>MAX(AN16,AM17)</f>
        <v/>
      </c>
      <c r="AO17">
        <f>(AN17-AM17)/AN17*100</f>
        <v/>
      </c>
    </row>
    <row r="18">
      <c r="A18" t="n">
        <v>13</v>
      </c>
      <c r="B18" s="4" t="n">
        <v>45854.30208333334</v>
      </c>
      <c r="C18" t="n">
        <v>6394.75</v>
      </c>
      <c r="D18" t="n">
        <v>6396.75</v>
      </c>
      <c r="E18" t="n">
        <v>6393.75</v>
      </c>
      <c r="F18" t="n">
        <v>6395.25</v>
      </c>
      <c r="G18" t="n">
        <v>3457</v>
      </c>
      <c r="H18">
        <f>F18-C18</f>
        <v/>
      </c>
      <c r="I18">
        <f>AVERAGE(H11:H15)</f>
        <v/>
      </c>
      <c r="J18">
        <f>I18+$F$1</f>
        <v/>
      </c>
      <c r="K18">
        <f>MIN(MAX(J18,-$H$1),$H$1)</f>
        <v/>
      </c>
      <c r="L18">
        <f>AI17</f>
        <v/>
      </c>
      <c r="M18">
        <f>AJ17</f>
        <v/>
      </c>
      <c r="N18">
        <f>AK17</f>
        <v/>
      </c>
      <c r="O18">
        <f>N18+L18*(F18-M18)*$H$2</f>
        <v/>
      </c>
      <c r="P18">
        <f>K18*O18</f>
        <v/>
      </c>
      <c r="Q18">
        <f>F18*$H$2</f>
        <v/>
      </c>
      <c r="R18">
        <f>INT(P18/Q18)</f>
        <v/>
      </c>
      <c r="S18">
        <f>R18-L18</f>
        <v/>
      </c>
      <c r="T18">
        <f>IF(S18&gt;0,"BUY",IF(S18&lt;0,"SELL","HOLD"))</f>
        <v/>
      </c>
      <c r="U18">
        <f>IF(S18=0,0,F18+IF(S18&gt;0,$F$2,-$F$2))</f>
        <v/>
      </c>
      <c r="V18">
        <f>AND(L18=0,S18&lt;&gt;0)</f>
        <v/>
      </c>
      <c r="W18">
        <f>AND(S18&lt;&gt;0,SIGN(L18+S18)=SIGN(L18),ABS(L18+S18)&gt;ABS(L18),L18&lt;&gt;0)</f>
        <v/>
      </c>
      <c r="X18">
        <f>AND(S18&lt;&gt;0,SIGN(L18+S18)=SIGN(L18),ABS(L18+S18)&lt;ABS(L18))</f>
        <v/>
      </c>
      <c r="Y18">
        <f>AND(S18&lt;&gt;0,L18+S18=0)</f>
        <v/>
      </c>
      <c r="Z18">
        <f>AND(S18&lt;&gt;0,SIGN(L18+S18)&lt;&gt;SIGN(L18),L18+S18&lt;&gt;0,L18&lt;&gt;0)</f>
        <v/>
      </c>
      <c r="AA18">
        <f>IF(OR(X18,Y18),ABS(S18),IF(Z18,ABS(L18),0))</f>
        <v/>
      </c>
      <c r="AB18">
        <f>AA18*(U18-M18)*$H$2*IF(L18&lt;0,-1,1)</f>
        <v/>
      </c>
      <c r="AC18">
        <f>IF(W18,ABS(L18)*M18+ABS(S18)*U18,0)</f>
        <v/>
      </c>
      <c r="AD18">
        <f>IF(W18,ABS(L18+S18),0)</f>
        <v/>
      </c>
      <c r="AE18">
        <f>IF(V18,U18,IF(W18,AC18/AD18,IF(OR(X18,Y18),IF(Y18,0,M18),IF(Z18,U18,M18))))</f>
        <v/>
      </c>
      <c r="AF18">
        <f>AB18</f>
        <v/>
      </c>
      <c r="AG18">
        <f>ABS(S18)*$D$2</f>
        <v/>
      </c>
      <c r="AH18">
        <f>AF18-AG18</f>
        <v/>
      </c>
      <c r="AI18">
        <f>L18+S18</f>
        <v/>
      </c>
      <c r="AJ18">
        <f>AE18</f>
        <v/>
      </c>
      <c r="AK18">
        <f>N18+AH18</f>
        <v/>
      </c>
      <c r="AL18">
        <f>AI18*(F18-AJ18)*$H$2</f>
        <v/>
      </c>
      <c r="AM18">
        <f>AK18+AL18</f>
        <v/>
      </c>
      <c r="AN18">
        <f>MAX(AN17,AM18)</f>
        <v/>
      </c>
      <c r="AO18">
        <f>(AN18-AM18)/AN18*100</f>
        <v/>
      </c>
    </row>
    <row r="19">
      <c r="A19" t="n">
        <v>14</v>
      </c>
      <c r="B19" s="4" t="n">
        <v>45855.30208333334</v>
      </c>
      <c r="C19" t="n">
        <v>6409.75</v>
      </c>
      <c r="D19" t="n">
        <v>6412.5</v>
      </c>
      <c r="E19" t="n">
        <v>6407.25</v>
      </c>
      <c r="F19" t="n">
        <v>6411</v>
      </c>
      <c r="G19" t="n">
        <v>3224</v>
      </c>
      <c r="H19">
        <f>F19-C19</f>
        <v/>
      </c>
      <c r="I19">
        <f>AVERAGE(H12:H16)</f>
        <v/>
      </c>
      <c r="J19">
        <f>I19+$F$1</f>
        <v/>
      </c>
      <c r="K19">
        <f>MIN(MAX(J19,-$H$1),$H$1)</f>
        <v/>
      </c>
      <c r="L19">
        <f>AI18</f>
        <v/>
      </c>
      <c r="M19">
        <f>AJ18</f>
        <v/>
      </c>
      <c r="N19">
        <f>AK18</f>
        <v/>
      </c>
      <c r="O19">
        <f>N19+L19*(F19-M19)*$H$2</f>
        <v/>
      </c>
      <c r="P19">
        <f>K19*O19</f>
        <v/>
      </c>
      <c r="Q19">
        <f>F19*$H$2</f>
        <v/>
      </c>
      <c r="R19">
        <f>INT(P19/Q19)</f>
        <v/>
      </c>
      <c r="S19">
        <f>R19-L19</f>
        <v/>
      </c>
      <c r="T19">
        <f>IF(S19&gt;0,"BUY",IF(S19&lt;0,"SELL","HOLD"))</f>
        <v/>
      </c>
      <c r="U19">
        <f>IF(S19=0,0,F19+IF(S19&gt;0,$F$2,-$F$2))</f>
        <v/>
      </c>
      <c r="V19">
        <f>AND(L19=0,S19&lt;&gt;0)</f>
        <v/>
      </c>
      <c r="W19">
        <f>AND(S19&lt;&gt;0,SIGN(L19+S19)=SIGN(L19),ABS(L19+S19)&gt;ABS(L19),L19&lt;&gt;0)</f>
        <v/>
      </c>
      <c r="X19">
        <f>AND(S19&lt;&gt;0,SIGN(L19+S19)=SIGN(L19),ABS(L19+S19)&lt;ABS(L19))</f>
        <v/>
      </c>
      <c r="Y19">
        <f>AND(S19&lt;&gt;0,L19+S19=0)</f>
        <v/>
      </c>
      <c r="Z19">
        <f>AND(S19&lt;&gt;0,SIGN(L19+S19)&lt;&gt;SIGN(L19),L19+S19&lt;&gt;0,L19&lt;&gt;0)</f>
        <v/>
      </c>
      <c r="AA19">
        <f>IF(OR(X19,Y19),ABS(S19),IF(Z19,ABS(L19),0))</f>
        <v/>
      </c>
      <c r="AB19">
        <f>AA19*(U19-M19)*$H$2*IF(L19&lt;0,-1,1)</f>
        <v/>
      </c>
      <c r="AC19">
        <f>IF(W19,ABS(L19)*M19+ABS(S19)*U19,0)</f>
        <v/>
      </c>
      <c r="AD19">
        <f>IF(W19,ABS(L19+S19),0)</f>
        <v/>
      </c>
      <c r="AE19">
        <f>IF(V19,U19,IF(W19,AC19/AD19,IF(OR(X19,Y19),IF(Y19,0,M19),IF(Z19,U19,M19))))</f>
        <v/>
      </c>
      <c r="AF19">
        <f>AB19</f>
        <v/>
      </c>
      <c r="AG19">
        <f>ABS(S19)*$D$2</f>
        <v/>
      </c>
      <c r="AH19">
        <f>AF19-AG19</f>
        <v/>
      </c>
      <c r="AI19">
        <f>L19+S19</f>
        <v/>
      </c>
      <c r="AJ19">
        <f>AE19</f>
        <v/>
      </c>
      <c r="AK19">
        <f>N19+AH19</f>
        <v/>
      </c>
      <c r="AL19">
        <f>AI19*(F19-AJ19)*$H$2</f>
        <v/>
      </c>
      <c r="AM19">
        <f>AK19+AL19</f>
        <v/>
      </c>
      <c r="AN19">
        <f>MAX(AN18,AM19)</f>
        <v/>
      </c>
      <c r="AO19">
        <f>(AN19-AM19)/AN19*100</f>
        <v/>
      </c>
    </row>
    <row r="20">
      <c r="A20" t="n">
        <v>15</v>
      </c>
      <c r="B20" s="4" t="n">
        <v>45856.30208333334</v>
      </c>
      <c r="C20" t="n">
        <v>6454.75</v>
      </c>
      <c r="D20" t="n">
        <v>6458.75</v>
      </c>
      <c r="E20" t="n">
        <v>6454.5</v>
      </c>
      <c r="F20" t="n">
        <v>6456.75</v>
      </c>
      <c r="G20" t="n">
        <v>5064</v>
      </c>
      <c r="H20">
        <f>F20-C20</f>
        <v/>
      </c>
      <c r="I20">
        <f>AVERAGE(H13:H17)</f>
        <v/>
      </c>
      <c r="J20">
        <f>I20+$F$1</f>
        <v/>
      </c>
      <c r="K20">
        <f>MIN(MAX(J20,-$H$1),$H$1)</f>
        <v/>
      </c>
      <c r="L20">
        <f>AI19</f>
        <v/>
      </c>
      <c r="M20">
        <f>AJ19</f>
        <v/>
      </c>
      <c r="N20">
        <f>AK19</f>
        <v/>
      </c>
      <c r="O20">
        <f>N20+L20*(F20-M20)*$H$2</f>
        <v/>
      </c>
      <c r="P20">
        <f>K20*O20</f>
        <v/>
      </c>
      <c r="Q20">
        <f>F20*$H$2</f>
        <v/>
      </c>
      <c r="R20">
        <f>INT(P20/Q20)</f>
        <v/>
      </c>
      <c r="S20">
        <f>R20-L20</f>
        <v/>
      </c>
      <c r="T20">
        <f>IF(S20&gt;0,"BUY",IF(S20&lt;0,"SELL","HOLD"))</f>
        <v/>
      </c>
      <c r="U20">
        <f>IF(S20=0,0,F20+IF(S20&gt;0,$F$2,-$F$2))</f>
        <v/>
      </c>
      <c r="V20">
        <f>AND(L20=0,S20&lt;&gt;0)</f>
        <v/>
      </c>
      <c r="W20">
        <f>AND(S20&lt;&gt;0,SIGN(L20+S20)=SIGN(L20),ABS(L20+S20)&gt;ABS(L20),L20&lt;&gt;0)</f>
        <v/>
      </c>
      <c r="X20">
        <f>AND(S20&lt;&gt;0,SIGN(L20+S20)=SIGN(L20),ABS(L20+S20)&lt;ABS(L20))</f>
        <v/>
      </c>
      <c r="Y20">
        <f>AND(S20&lt;&gt;0,L20+S20=0)</f>
        <v/>
      </c>
      <c r="Z20">
        <f>AND(S20&lt;&gt;0,SIGN(L20+S20)&lt;&gt;SIGN(L20),L20+S20&lt;&gt;0,L20&lt;&gt;0)</f>
        <v/>
      </c>
      <c r="AA20">
        <f>IF(OR(X20,Y20),ABS(S20),IF(Z20,ABS(L20),0))</f>
        <v/>
      </c>
      <c r="AB20">
        <f>AA20*(U20-M20)*$H$2*IF(L20&lt;0,-1,1)</f>
        <v/>
      </c>
      <c r="AC20">
        <f>IF(W20,ABS(L20)*M20+ABS(S20)*U20,0)</f>
        <v/>
      </c>
      <c r="AD20">
        <f>IF(W20,ABS(L20+S20),0)</f>
        <v/>
      </c>
      <c r="AE20">
        <f>IF(V20,U20,IF(W20,AC20/AD20,IF(OR(X20,Y20),IF(Y20,0,M20),IF(Z20,U20,M20))))</f>
        <v/>
      </c>
      <c r="AF20">
        <f>AB20</f>
        <v/>
      </c>
      <c r="AG20">
        <f>ABS(S20)*$D$2</f>
        <v/>
      </c>
      <c r="AH20">
        <f>AF20-AG20</f>
        <v/>
      </c>
      <c r="AI20">
        <f>L20+S20</f>
        <v/>
      </c>
      <c r="AJ20">
        <f>AE20</f>
        <v/>
      </c>
      <c r="AK20">
        <f>N20+AH20</f>
        <v/>
      </c>
      <c r="AL20">
        <f>AI20*(F20-AJ20)*$H$2</f>
        <v/>
      </c>
      <c r="AM20">
        <f>AK20+AL20</f>
        <v/>
      </c>
      <c r="AN20">
        <f>MAX(AN19,AM20)</f>
        <v/>
      </c>
      <c r="AO20">
        <f>(AN20-AM20)/AN20*100</f>
        <v/>
      </c>
    </row>
    <row r="21">
      <c r="A21" t="n">
        <v>16</v>
      </c>
      <c r="B21" s="4" t="n">
        <v>45859.30208333334</v>
      </c>
      <c r="C21" t="n">
        <v>6459.25</v>
      </c>
      <c r="D21" t="n">
        <v>6459.5</v>
      </c>
      <c r="E21" t="n">
        <v>6458</v>
      </c>
      <c r="F21" t="n">
        <v>6459.25</v>
      </c>
      <c r="G21" t="n">
        <v>1901</v>
      </c>
      <c r="H21">
        <f>F21-C21</f>
        <v/>
      </c>
      <c r="I21">
        <f>AVERAGE(H14:H18)</f>
        <v/>
      </c>
      <c r="J21">
        <f>I21+$F$1</f>
        <v/>
      </c>
      <c r="K21">
        <f>MIN(MAX(J21,-$H$1),$H$1)</f>
        <v/>
      </c>
      <c r="L21">
        <f>AI20</f>
        <v/>
      </c>
      <c r="M21">
        <f>AJ20</f>
        <v/>
      </c>
      <c r="N21">
        <f>AK20</f>
        <v/>
      </c>
      <c r="O21">
        <f>N21+L21*(F21-M21)*$H$2</f>
        <v/>
      </c>
      <c r="P21">
        <f>K21*O21</f>
        <v/>
      </c>
      <c r="Q21">
        <f>F21*$H$2</f>
        <v/>
      </c>
      <c r="R21">
        <f>INT(P21/Q21)</f>
        <v/>
      </c>
      <c r="S21">
        <f>R21-L21</f>
        <v/>
      </c>
      <c r="T21">
        <f>IF(S21&gt;0,"BUY",IF(S21&lt;0,"SELL","HOLD"))</f>
        <v/>
      </c>
      <c r="U21">
        <f>IF(S21=0,0,F21+IF(S21&gt;0,$F$2,-$F$2))</f>
        <v/>
      </c>
      <c r="V21">
        <f>AND(L21=0,S21&lt;&gt;0)</f>
        <v/>
      </c>
      <c r="W21">
        <f>AND(S21&lt;&gt;0,SIGN(L21+S21)=SIGN(L21),ABS(L21+S21)&gt;ABS(L21),L21&lt;&gt;0)</f>
        <v/>
      </c>
      <c r="X21">
        <f>AND(S21&lt;&gt;0,SIGN(L21+S21)=SIGN(L21),ABS(L21+S21)&lt;ABS(L21))</f>
        <v/>
      </c>
      <c r="Y21">
        <f>AND(S21&lt;&gt;0,L21+S21=0)</f>
        <v/>
      </c>
      <c r="Z21">
        <f>AND(S21&lt;&gt;0,SIGN(L21+S21)&lt;&gt;SIGN(L21),L21+S21&lt;&gt;0,L21&lt;&gt;0)</f>
        <v/>
      </c>
      <c r="AA21">
        <f>IF(OR(X21,Y21),ABS(S21),IF(Z21,ABS(L21),0))</f>
        <v/>
      </c>
      <c r="AB21">
        <f>AA21*(U21-M21)*$H$2*IF(L21&lt;0,-1,1)</f>
        <v/>
      </c>
      <c r="AC21">
        <f>IF(W21,ABS(L21)*M21+ABS(S21)*U21,0)</f>
        <v/>
      </c>
      <c r="AD21">
        <f>IF(W21,ABS(L21+S21),0)</f>
        <v/>
      </c>
      <c r="AE21">
        <f>IF(V21,U21,IF(W21,AC21/AD21,IF(OR(X21,Y21),IF(Y21,0,M21),IF(Z21,U21,M21))))</f>
        <v/>
      </c>
      <c r="AF21">
        <f>AB21</f>
        <v/>
      </c>
      <c r="AG21">
        <f>ABS(S21)*$D$2</f>
        <v/>
      </c>
      <c r="AH21">
        <f>AF21-AG21</f>
        <v/>
      </c>
      <c r="AI21">
        <f>L21+S21</f>
        <v/>
      </c>
      <c r="AJ21">
        <f>AE21</f>
        <v/>
      </c>
      <c r="AK21">
        <f>N21+AH21</f>
        <v/>
      </c>
      <c r="AL21">
        <f>AI21*(F21-AJ21)*$H$2</f>
        <v/>
      </c>
      <c r="AM21">
        <f>AK21+AL21</f>
        <v/>
      </c>
      <c r="AN21">
        <f>MAX(AN20,AM21)</f>
        <v/>
      </c>
      <c r="AO21">
        <f>(AN21-AM21)/AN21*100</f>
        <v/>
      </c>
    </row>
    <row r="22">
      <c r="A22" t="n">
        <v>17</v>
      </c>
      <c r="B22" s="4" t="n">
        <v>45860.30208333334</v>
      </c>
      <c r="C22" t="n">
        <v>6457</v>
      </c>
      <c r="D22" t="n">
        <v>6459.75</v>
      </c>
      <c r="E22" t="n">
        <v>6454.75</v>
      </c>
      <c r="F22" t="n">
        <v>6459</v>
      </c>
      <c r="G22" t="n">
        <v>3729</v>
      </c>
      <c r="H22">
        <f>F22-C22</f>
        <v/>
      </c>
      <c r="I22">
        <f>AVERAGE(H15:H19)</f>
        <v/>
      </c>
      <c r="J22">
        <f>I22+$F$1</f>
        <v/>
      </c>
      <c r="K22">
        <f>MIN(MAX(J22,-$H$1),$H$1)</f>
        <v/>
      </c>
      <c r="L22">
        <f>AI21</f>
        <v/>
      </c>
      <c r="M22">
        <f>AJ21</f>
        <v/>
      </c>
      <c r="N22">
        <f>AK21</f>
        <v/>
      </c>
      <c r="O22">
        <f>N22+L22*(F22-M22)*$H$2</f>
        <v/>
      </c>
      <c r="P22">
        <f>K22*O22</f>
        <v/>
      </c>
      <c r="Q22">
        <f>F22*$H$2</f>
        <v/>
      </c>
      <c r="R22">
        <f>INT(P22/Q22)</f>
        <v/>
      </c>
      <c r="S22">
        <f>R22-L22</f>
        <v/>
      </c>
      <c r="T22">
        <f>IF(S22&gt;0,"BUY",IF(S22&lt;0,"SELL","HOLD"))</f>
        <v/>
      </c>
      <c r="U22">
        <f>IF(S22=0,0,F22+IF(S22&gt;0,$F$2,-$F$2))</f>
        <v/>
      </c>
      <c r="V22">
        <f>AND(L22=0,S22&lt;&gt;0)</f>
        <v/>
      </c>
      <c r="W22">
        <f>AND(S22&lt;&gt;0,SIGN(L22+S22)=SIGN(L22),ABS(L22+S22)&gt;ABS(L22),L22&lt;&gt;0)</f>
        <v/>
      </c>
      <c r="X22">
        <f>AND(S22&lt;&gt;0,SIGN(L22+S22)=SIGN(L22),ABS(L22+S22)&lt;ABS(L22))</f>
        <v/>
      </c>
      <c r="Y22">
        <f>AND(S22&lt;&gt;0,L22+S22=0)</f>
        <v/>
      </c>
      <c r="Z22">
        <f>AND(S22&lt;&gt;0,SIGN(L22+S22)&lt;&gt;SIGN(L22),L22+S22&lt;&gt;0,L22&lt;&gt;0)</f>
        <v/>
      </c>
      <c r="AA22">
        <f>IF(OR(X22,Y22),ABS(S22),IF(Z22,ABS(L22),0))</f>
        <v/>
      </c>
      <c r="AB22">
        <f>AA22*(U22-M22)*$H$2*IF(L22&lt;0,-1,1)</f>
        <v/>
      </c>
      <c r="AC22">
        <f>IF(W22,ABS(L22)*M22+ABS(S22)*U22,0)</f>
        <v/>
      </c>
      <c r="AD22">
        <f>IF(W22,ABS(L22+S22),0)</f>
        <v/>
      </c>
      <c r="AE22">
        <f>IF(V22,U22,IF(W22,AC22/AD22,IF(OR(X22,Y22),IF(Y22,0,M22),IF(Z22,U22,M22))))</f>
        <v/>
      </c>
      <c r="AF22">
        <f>AB22</f>
        <v/>
      </c>
      <c r="AG22">
        <f>ABS(S22)*$D$2</f>
        <v/>
      </c>
      <c r="AH22">
        <f>AF22-AG22</f>
        <v/>
      </c>
      <c r="AI22">
        <f>L22+S22</f>
        <v/>
      </c>
      <c r="AJ22">
        <f>AE22</f>
        <v/>
      </c>
      <c r="AK22">
        <f>N22+AH22</f>
        <v/>
      </c>
      <c r="AL22">
        <f>AI22*(F22-AJ22)*$H$2</f>
        <v/>
      </c>
      <c r="AM22">
        <f>AK22+AL22</f>
        <v/>
      </c>
      <c r="AN22">
        <f>MAX(AN21,AM22)</f>
        <v/>
      </c>
      <c r="AO22">
        <f>(AN22-AM22)/AN22*100</f>
        <v/>
      </c>
    </row>
    <row r="23">
      <c r="A23" t="n">
        <v>18</v>
      </c>
      <c r="B23" s="4" t="n">
        <v>45861.30208333334</v>
      </c>
      <c r="C23" t="n">
        <v>6482</v>
      </c>
      <c r="D23" t="n">
        <v>6482.25</v>
      </c>
      <c r="E23" t="n">
        <v>6479.75</v>
      </c>
      <c r="F23" t="n">
        <v>6482</v>
      </c>
      <c r="G23" t="n">
        <v>2971</v>
      </c>
      <c r="H23">
        <f>F23-C23</f>
        <v/>
      </c>
      <c r="I23">
        <f>AVERAGE(H16:H20)</f>
        <v/>
      </c>
      <c r="J23">
        <f>I23+$F$1</f>
        <v/>
      </c>
      <c r="K23">
        <f>MIN(MAX(J23,-$H$1),$H$1)</f>
        <v/>
      </c>
      <c r="L23">
        <f>AI22</f>
        <v/>
      </c>
      <c r="M23">
        <f>AJ22</f>
        <v/>
      </c>
      <c r="N23">
        <f>AK22</f>
        <v/>
      </c>
      <c r="O23">
        <f>N23+L23*(F23-M23)*$H$2</f>
        <v/>
      </c>
      <c r="P23">
        <f>K23*O23</f>
        <v/>
      </c>
      <c r="Q23">
        <f>F23*$H$2</f>
        <v/>
      </c>
      <c r="R23">
        <f>INT(P23/Q23)</f>
        <v/>
      </c>
      <c r="S23">
        <f>R23-L23</f>
        <v/>
      </c>
      <c r="T23">
        <f>IF(S23&gt;0,"BUY",IF(S23&lt;0,"SELL","HOLD"))</f>
        <v/>
      </c>
      <c r="U23">
        <f>IF(S23=0,0,F23+IF(S23&gt;0,$F$2,-$F$2))</f>
        <v/>
      </c>
      <c r="V23">
        <f>AND(L23=0,S23&lt;&gt;0)</f>
        <v/>
      </c>
      <c r="W23">
        <f>AND(S23&lt;&gt;0,SIGN(L23+S23)=SIGN(L23),ABS(L23+S23)&gt;ABS(L23),L23&lt;&gt;0)</f>
        <v/>
      </c>
      <c r="X23">
        <f>AND(S23&lt;&gt;0,SIGN(L23+S23)=SIGN(L23),ABS(L23+S23)&lt;ABS(L23))</f>
        <v/>
      </c>
      <c r="Y23">
        <f>AND(S23&lt;&gt;0,L23+S23=0)</f>
        <v/>
      </c>
      <c r="Z23">
        <f>AND(S23&lt;&gt;0,SIGN(L23+S23)&lt;&gt;SIGN(L23),L23+S23&lt;&gt;0,L23&lt;&gt;0)</f>
        <v/>
      </c>
      <c r="AA23">
        <f>IF(OR(X23,Y23),ABS(S23),IF(Z23,ABS(L23),0))</f>
        <v/>
      </c>
      <c r="AB23">
        <f>AA23*(U23-M23)*$H$2*IF(L23&lt;0,-1,1)</f>
        <v/>
      </c>
      <c r="AC23">
        <f>IF(W23,ABS(L23)*M23+ABS(S23)*U23,0)</f>
        <v/>
      </c>
      <c r="AD23">
        <f>IF(W23,ABS(L23+S23),0)</f>
        <v/>
      </c>
      <c r="AE23">
        <f>IF(V23,U23,IF(W23,AC23/AD23,IF(OR(X23,Y23),IF(Y23,0,M23),IF(Z23,U23,M23))))</f>
        <v/>
      </c>
      <c r="AF23">
        <f>AB23</f>
        <v/>
      </c>
      <c r="AG23">
        <f>ABS(S23)*$D$2</f>
        <v/>
      </c>
      <c r="AH23">
        <f>AF23-AG23</f>
        <v/>
      </c>
      <c r="AI23">
        <f>L23+S23</f>
        <v/>
      </c>
      <c r="AJ23">
        <f>AE23</f>
        <v/>
      </c>
      <c r="AK23">
        <f>N23+AH23</f>
        <v/>
      </c>
      <c r="AL23">
        <f>AI23*(F23-AJ23)*$H$2</f>
        <v/>
      </c>
      <c r="AM23">
        <f>AK23+AL23</f>
        <v/>
      </c>
      <c r="AN23">
        <f>MAX(AN22,AM23)</f>
        <v/>
      </c>
      <c r="AO23">
        <f>(AN23-AM23)/AN23*100</f>
        <v/>
      </c>
    </row>
    <row r="24">
      <c r="A24" t="n">
        <v>19</v>
      </c>
      <c r="B24" s="4" t="n">
        <v>45862.30208333334</v>
      </c>
      <c r="C24" t="n">
        <v>6516</v>
      </c>
      <c r="D24" t="n">
        <v>6516</v>
      </c>
      <c r="E24" t="n">
        <v>6510</v>
      </c>
      <c r="F24" t="n">
        <v>6514</v>
      </c>
      <c r="G24" t="n">
        <v>4307</v>
      </c>
      <c r="H24">
        <f>F24-C24</f>
        <v/>
      </c>
      <c r="I24">
        <f>AVERAGE(H17:H21)</f>
        <v/>
      </c>
      <c r="J24">
        <f>I24+$F$1</f>
        <v/>
      </c>
      <c r="K24">
        <f>MIN(MAX(J24,-$H$1),$H$1)</f>
        <v/>
      </c>
      <c r="L24">
        <f>AI23</f>
        <v/>
      </c>
      <c r="M24">
        <f>AJ23</f>
        <v/>
      </c>
      <c r="N24">
        <f>AK23</f>
        <v/>
      </c>
      <c r="O24">
        <f>N24+L24*(F24-M24)*$H$2</f>
        <v/>
      </c>
      <c r="P24">
        <f>K24*O24</f>
        <v/>
      </c>
      <c r="Q24">
        <f>F24*$H$2</f>
        <v/>
      </c>
      <c r="R24">
        <f>INT(P24/Q24)</f>
        <v/>
      </c>
      <c r="S24">
        <f>R24-L24</f>
        <v/>
      </c>
      <c r="T24">
        <f>IF(S24&gt;0,"BUY",IF(S24&lt;0,"SELL","HOLD"))</f>
        <v/>
      </c>
      <c r="U24">
        <f>IF(S24=0,0,F24+IF(S24&gt;0,$F$2,-$F$2))</f>
        <v/>
      </c>
      <c r="V24">
        <f>AND(L24=0,S24&lt;&gt;0)</f>
        <v/>
      </c>
      <c r="W24">
        <f>AND(S24&lt;&gt;0,SIGN(L24+S24)=SIGN(L24),ABS(L24+S24)&gt;ABS(L24),L24&lt;&gt;0)</f>
        <v/>
      </c>
      <c r="X24">
        <f>AND(S24&lt;&gt;0,SIGN(L24+S24)=SIGN(L24),ABS(L24+S24)&lt;ABS(L24))</f>
        <v/>
      </c>
      <c r="Y24">
        <f>AND(S24&lt;&gt;0,L24+S24=0)</f>
        <v/>
      </c>
      <c r="Z24">
        <f>AND(S24&lt;&gt;0,SIGN(L24+S24)&lt;&gt;SIGN(L24),L24+S24&lt;&gt;0,L24&lt;&gt;0)</f>
        <v/>
      </c>
      <c r="AA24">
        <f>IF(OR(X24,Y24),ABS(S24),IF(Z24,ABS(L24),0))</f>
        <v/>
      </c>
      <c r="AB24">
        <f>AA24*(U24-M24)*$H$2*IF(L24&lt;0,-1,1)</f>
        <v/>
      </c>
      <c r="AC24">
        <f>IF(W24,ABS(L24)*M24+ABS(S24)*U24,0)</f>
        <v/>
      </c>
      <c r="AD24">
        <f>IF(W24,ABS(L24+S24),0)</f>
        <v/>
      </c>
      <c r="AE24">
        <f>IF(V24,U24,IF(W24,AC24/AD24,IF(OR(X24,Y24),IF(Y24,0,M24),IF(Z24,U24,M24))))</f>
        <v/>
      </c>
      <c r="AF24">
        <f>AB24</f>
        <v/>
      </c>
      <c r="AG24">
        <f>ABS(S24)*$D$2</f>
        <v/>
      </c>
      <c r="AH24">
        <f>AF24-AG24</f>
        <v/>
      </c>
      <c r="AI24">
        <f>L24+S24</f>
        <v/>
      </c>
      <c r="AJ24">
        <f>AE24</f>
        <v/>
      </c>
      <c r="AK24">
        <f>N24+AH24</f>
        <v/>
      </c>
      <c r="AL24">
        <f>AI24*(F24-AJ24)*$H$2</f>
        <v/>
      </c>
      <c r="AM24">
        <f>AK24+AL24</f>
        <v/>
      </c>
      <c r="AN24">
        <f>MAX(AN23,AM24)</f>
        <v/>
      </c>
      <c r="AO24">
        <f>(AN24-AM24)/AN24*100</f>
        <v/>
      </c>
    </row>
    <row r="25">
      <c r="A25" t="n">
        <v>20</v>
      </c>
      <c r="B25" s="4" t="n">
        <v>45863.30208333334</v>
      </c>
      <c r="C25" t="n">
        <v>6517</v>
      </c>
      <c r="D25" t="n">
        <v>6521.25</v>
      </c>
      <c r="E25" t="n">
        <v>6516.75</v>
      </c>
      <c r="F25" t="n">
        <v>6519.75</v>
      </c>
      <c r="G25" t="n">
        <v>3105</v>
      </c>
      <c r="H25">
        <f>F25-C25</f>
        <v/>
      </c>
      <c r="I25">
        <f>AVERAGE(H18:H22)</f>
        <v/>
      </c>
      <c r="J25">
        <f>I25+$F$1</f>
        <v/>
      </c>
      <c r="K25">
        <f>MIN(MAX(J25,-$H$1),$H$1)</f>
        <v/>
      </c>
      <c r="L25">
        <f>AI24</f>
        <v/>
      </c>
      <c r="M25">
        <f>AJ24</f>
        <v/>
      </c>
      <c r="N25">
        <f>AK24</f>
        <v/>
      </c>
      <c r="O25">
        <f>N25+L25*(F25-M25)*$H$2</f>
        <v/>
      </c>
      <c r="P25">
        <f>K25*O25</f>
        <v/>
      </c>
      <c r="Q25">
        <f>F25*$H$2</f>
        <v/>
      </c>
      <c r="R25">
        <f>INT(P25/Q25)</f>
        <v/>
      </c>
      <c r="S25">
        <f>R25-L25</f>
        <v/>
      </c>
      <c r="T25">
        <f>IF(S25&gt;0,"BUY",IF(S25&lt;0,"SELL","HOLD"))</f>
        <v/>
      </c>
      <c r="U25">
        <f>IF(S25=0,0,F25+IF(S25&gt;0,$F$2,-$F$2))</f>
        <v/>
      </c>
      <c r="V25">
        <f>AND(L25=0,S25&lt;&gt;0)</f>
        <v/>
      </c>
      <c r="W25">
        <f>AND(S25&lt;&gt;0,SIGN(L25+S25)=SIGN(L25),ABS(L25+S25)&gt;ABS(L25),L25&lt;&gt;0)</f>
        <v/>
      </c>
      <c r="X25">
        <f>AND(S25&lt;&gt;0,SIGN(L25+S25)=SIGN(L25),ABS(L25+S25)&lt;ABS(L25))</f>
        <v/>
      </c>
      <c r="Y25">
        <f>AND(S25&lt;&gt;0,L25+S25=0)</f>
        <v/>
      </c>
      <c r="Z25">
        <f>AND(S25&lt;&gt;0,SIGN(L25+S25)&lt;&gt;SIGN(L25),L25+S25&lt;&gt;0,L25&lt;&gt;0)</f>
        <v/>
      </c>
      <c r="AA25">
        <f>IF(OR(X25,Y25),ABS(S25),IF(Z25,ABS(L25),0))</f>
        <v/>
      </c>
      <c r="AB25">
        <f>AA25*(U25-M25)*$H$2*IF(L25&lt;0,-1,1)</f>
        <v/>
      </c>
      <c r="AC25">
        <f>IF(W25,ABS(L25)*M25+ABS(S25)*U25,0)</f>
        <v/>
      </c>
      <c r="AD25">
        <f>IF(W25,ABS(L25+S25),0)</f>
        <v/>
      </c>
      <c r="AE25">
        <f>IF(V25,U25,IF(W25,AC25/AD25,IF(OR(X25,Y25),IF(Y25,0,M25),IF(Z25,U25,M25))))</f>
        <v/>
      </c>
      <c r="AF25">
        <f>AB25</f>
        <v/>
      </c>
      <c r="AG25">
        <f>ABS(S25)*$D$2</f>
        <v/>
      </c>
      <c r="AH25">
        <f>AF25-AG25</f>
        <v/>
      </c>
      <c r="AI25">
        <f>L25+S25</f>
        <v/>
      </c>
      <c r="AJ25">
        <f>AE25</f>
        <v/>
      </c>
      <c r="AK25">
        <f>N25+AH25</f>
        <v/>
      </c>
      <c r="AL25">
        <f>AI25*(F25-AJ25)*$H$2</f>
        <v/>
      </c>
      <c r="AM25">
        <f>AK25+AL25</f>
        <v/>
      </c>
      <c r="AN25">
        <f>MAX(AN24,AM25)</f>
        <v/>
      </c>
      <c r="AO25">
        <f>(AN25-AM25)/AN25*100</f>
        <v/>
      </c>
    </row>
    <row r="26">
      <c r="A26" t="n">
        <v>21</v>
      </c>
      <c r="B26" s="4" t="n">
        <v>45866.30208333334</v>
      </c>
      <c r="C26" t="n">
        <v>6546.25</v>
      </c>
      <c r="D26" t="n">
        <v>6549.75</v>
      </c>
      <c r="E26" t="n">
        <v>6546</v>
      </c>
      <c r="F26" t="n">
        <v>6549</v>
      </c>
      <c r="G26" t="n">
        <v>3508</v>
      </c>
      <c r="H26">
        <f>F26-C26</f>
        <v/>
      </c>
      <c r="I26">
        <f>AVERAGE(H19:H23)</f>
        <v/>
      </c>
      <c r="J26">
        <f>I26+$F$1</f>
        <v/>
      </c>
      <c r="K26">
        <f>MIN(MAX(J26,-$H$1),$H$1)</f>
        <v/>
      </c>
      <c r="L26">
        <f>AI25</f>
        <v/>
      </c>
      <c r="M26">
        <f>AJ25</f>
        <v/>
      </c>
      <c r="N26">
        <f>AK25</f>
        <v/>
      </c>
      <c r="O26">
        <f>N26+L26*(F26-M26)*$H$2</f>
        <v/>
      </c>
      <c r="P26">
        <f>K26*O26</f>
        <v/>
      </c>
      <c r="Q26">
        <f>F26*$H$2</f>
        <v/>
      </c>
      <c r="R26">
        <f>INT(P26/Q26)</f>
        <v/>
      </c>
      <c r="S26">
        <f>R26-L26</f>
        <v/>
      </c>
      <c r="T26">
        <f>IF(S26&gt;0,"BUY",IF(S26&lt;0,"SELL","HOLD"))</f>
        <v/>
      </c>
      <c r="U26">
        <f>IF(S26=0,0,F26+IF(S26&gt;0,$F$2,-$F$2))</f>
        <v/>
      </c>
      <c r="V26">
        <f>AND(L26=0,S26&lt;&gt;0)</f>
        <v/>
      </c>
      <c r="W26">
        <f>AND(S26&lt;&gt;0,SIGN(L26+S26)=SIGN(L26),ABS(L26+S26)&gt;ABS(L26),L26&lt;&gt;0)</f>
        <v/>
      </c>
      <c r="X26">
        <f>AND(S26&lt;&gt;0,SIGN(L26+S26)=SIGN(L26),ABS(L26+S26)&lt;ABS(L26))</f>
        <v/>
      </c>
      <c r="Y26">
        <f>AND(S26&lt;&gt;0,L26+S26=0)</f>
        <v/>
      </c>
      <c r="Z26">
        <f>AND(S26&lt;&gt;0,SIGN(L26+S26)&lt;&gt;SIGN(L26),L26+S26&lt;&gt;0,L26&lt;&gt;0)</f>
        <v/>
      </c>
      <c r="AA26">
        <f>IF(OR(X26,Y26),ABS(S26),IF(Z26,ABS(L26),0))</f>
        <v/>
      </c>
      <c r="AB26">
        <f>AA26*(U26-M26)*$H$2*IF(L26&lt;0,-1,1)</f>
        <v/>
      </c>
      <c r="AC26">
        <f>IF(W26,ABS(L26)*M26+ABS(S26)*U26,0)</f>
        <v/>
      </c>
      <c r="AD26">
        <f>IF(W26,ABS(L26+S26),0)</f>
        <v/>
      </c>
      <c r="AE26">
        <f>IF(V26,U26,IF(W26,AC26/AD26,IF(OR(X26,Y26),IF(Y26,0,M26),IF(Z26,U26,M26))))</f>
        <v/>
      </c>
      <c r="AF26">
        <f>AB26</f>
        <v/>
      </c>
      <c r="AG26">
        <f>ABS(S26)*$D$2</f>
        <v/>
      </c>
      <c r="AH26">
        <f>AF26-AG26</f>
        <v/>
      </c>
      <c r="AI26">
        <f>L26+S26</f>
        <v/>
      </c>
      <c r="AJ26">
        <f>AE26</f>
        <v/>
      </c>
      <c r="AK26">
        <f>N26+AH26</f>
        <v/>
      </c>
      <c r="AL26">
        <f>AI26*(F26-AJ26)*$H$2</f>
        <v/>
      </c>
      <c r="AM26">
        <f>AK26+AL26</f>
        <v/>
      </c>
      <c r="AN26">
        <f>MAX(AN25,AM26)</f>
        <v/>
      </c>
      <c r="AO26">
        <f>(AN26-AM26)/AN26*100</f>
        <v/>
      </c>
    </row>
    <row r="27">
      <c r="A27" t="n">
        <v>22</v>
      </c>
      <c r="B27" s="4" t="n">
        <v>45867.30208333334</v>
      </c>
      <c r="C27" t="n">
        <v>6550.25</v>
      </c>
      <c r="D27" t="n">
        <v>6551</v>
      </c>
      <c r="E27" t="n">
        <v>6547.75</v>
      </c>
      <c r="F27" t="n">
        <v>6548.5</v>
      </c>
      <c r="G27" t="n">
        <v>2524</v>
      </c>
      <c r="H27">
        <f>F27-C27</f>
        <v/>
      </c>
      <c r="I27">
        <f>AVERAGE(H20:H24)</f>
        <v/>
      </c>
      <c r="J27">
        <f>I27+$F$1</f>
        <v/>
      </c>
      <c r="K27">
        <f>MIN(MAX(J27,-$H$1),$H$1)</f>
        <v/>
      </c>
      <c r="L27">
        <f>AI26</f>
        <v/>
      </c>
      <c r="M27">
        <f>AJ26</f>
        <v/>
      </c>
      <c r="N27">
        <f>AK26</f>
        <v/>
      </c>
      <c r="O27">
        <f>N27+L27*(F27-M27)*$H$2</f>
        <v/>
      </c>
      <c r="P27">
        <f>K27*O27</f>
        <v/>
      </c>
      <c r="Q27">
        <f>F27*$H$2</f>
        <v/>
      </c>
      <c r="R27">
        <f>INT(P27/Q27)</f>
        <v/>
      </c>
      <c r="S27">
        <f>R27-L27</f>
        <v/>
      </c>
      <c r="T27">
        <f>IF(S27&gt;0,"BUY",IF(S27&lt;0,"SELL","HOLD"))</f>
        <v/>
      </c>
      <c r="U27">
        <f>IF(S27=0,0,F27+IF(S27&gt;0,$F$2,-$F$2))</f>
        <v/>
      </c>
      <c r="V27">
        <f>AND(L27=0,S27&lt;&gt;0)</f>
        <v/>
      </c>
      <c r="W27">
        <f>AND(S27&lt;&gt;0,SIGN(L27+S27)=SIGN(L27),ABS(L27+S27)&gt;ABS(L27),L27&lt;&gt;0)</f>
        <v/>
      </c>
      <c r="X27">
        <f>AND(S27&lt;&gt;0,SIGN(L27+S27)=SIGN(L27),ABS(L27+S27)&lt;ABS(L27))</f>
        <v/>
      </c>
      <c r="Y27">
        <f>AND(S27&lt;&gt;0,L27+S27=0)</f>
        <v/>
      </c>
      <c r="Z27">
        <f>AND(S27&lt;&gt;0,SIGN(L27+S27)&lt;&gt;SIGN(L27),L27+S27&lt;&gt;0,L27&lt;&gt;0)</f>
        <v/>
      </c>
      <c r="AA27">
        <f>IF(OR(X27,Y27),ABS(S27),IF(Z27,ABS(L27),0))</f>
        <v/>
      </c>
      <c r="AB27">
        <f>AA27*(U27-M27)*$H$2*IF(L27&lt;0,-1,1)</f>
        <v/>
      </c>
      <c r="AC27">
        <f>IF(W27,ABS(L27)*M27+ABS(S27)*U27,0)</f>
        <v/>
      </c>
      <c r="AD27">
        <f>IF(W27,ABS(L27+S27),0)</f>
        <v/>
      </c>
      <c r="AE27">
        <f>IF(V27,U27,IF(W27,AC27/AD27,IF(OR(X27,Y27),IF(Y27,0,M27),IF(Z27,U27,M27))))</f>
        <v/>
      </c>
      <c r="AF27">
        <f>AB27</f>
        <v/>
      </c>
      <c r="AG27">
        <f>ABS(S27)*$D$2</f>
        <v/>
      </c>
      <c r="AH27">
        <f>AF27-AG27</f>
        <v/>
      </c>
      <c r="AI27">
        <f>L27+S27</f>
        <v/>
      </c>
      <c r="AJ27">
        <f>AE27</f>
        <v/>
      </c>
      <c r="AK27">
        <f>N27+AH27</f>
        <v/>
      </c>
      <c r="AL27">
        <f>AI27*(F27-AJ27)*$H$2</f>
        <v/>
      </c>
      <c r="AM27">
        <f>AK27+AL27</f>
        <v/>
      </c>
      <c r="AN27">
        <f>MAX(AN26,AM27)</f>
        <v/>
      </c>
      <c r="AO27">
        <f>(AN27-AM27)/AN27*100</f>
        <v/>
      </c>
    </row>
    <row r="28">
      <c r="A28" t="n">
        <v>23</v>
      </c>
      <c r="B28" s="4" t="n">
        <v>45868.30208333334</v>
      </c>
      <c r="C28" t="n">
        <v>6522.25</v>
      </c>
      <c r="D28" t="n">
        <v>6527</v>
      </c>
      <c r="E28" t="n">
        <v>6520.5</v>
      </c>
      <c r="F28" t="n">
        <v>6521.75</v>
      </c>
      <c r="G28" t="n">
        <v>4465</v>
      </c>
      <c r="H28">
        <f>F28-C28</f>
        <v/>
      </c>
      <c r="I28">
        <f>AVERAGE(H21:H25)</f>
        <v/>
      </c>
      <c r="J28">
        <f>I28+$F$1</f>
        <v/>
      </c>
      <c r="K28">
        <f>MIN(MAX(J28,-$H$1),$H$1)</f>
        <v/>
      </c>
      <c r="L28">
        <f>AI27</f>
        <v/>
      </c>
      <c r="M28">
        <f>AJ27</f>
        <v/>
      </c>
      <c r="N28">
        <f>AK27</f>
        <v/>
      </c>
      <c r="O28">
        <f>N28+L28*(F28-M28)*$H$2</f>
        <v/>
      </c>
      <c r="P28">
        <f>K28*O28</f>
        <v/>
      </c>
      <c r="Q28">
        <f>F28*$H$2</f>
        <v/>
      </c>
      <c r="R28">
        <f>INT(P28/Q28)</f>
        <v/>
      </c>
      <c r="S28">
        <f>R28-L28</f>
        <v/>
      </c>
      <c r="T28">
        <f>IF(S28&gt;0,"BUY",IF(S28&lt;0,"SELL","HOLD"))</f>
        <v/>
      </c>
      <c r="U28">
        <f>IF(S28=0,0,F28+IF(S28&gt;0,$F$2,-$F$2))</f>
        <v/>
      </c>
      <c r="V28">
        <f>AND(L28=0,S28&lt;&gt;0)</f>
        <v/>
      </c>
      <c r="W28">
        <f>AND(S28&lt;&gt;0,SIGN(L28+S28)=SIGN(L28),ABS(L28+S28)&gt;ABS(L28),L28&lt;&gt;0)</f>
        <v/>
      </c>
      <c r="X28">
        <f>AND(S28&lt;&gt;0,SIGN(L28+S28)=SIGN(L28),ABS(L28+S28)&lt;ABS(L28))</f>
        <v/>
      </c>
      <c r="Y28">
        <f>AND(S28&lt;&gt;0,L28+S28=0)</f>
        <v/>
      </c>
      <c r="Z28">
        <f>AND(S28&lt;&gt;0,SIGN(L28+S28)&lt;&gt;SIGN(L28),L28+S28&lt;&gt;0,L28&lt;&gt;0)</f>
        <v/>
      </c>
      <c r="AA28">
        <f>IF(OR(X28,Y28),ABS(S28),IF(Z28,ABS(L28),0))</f>
        <v/>
      </c>
      <c r="AB28">
        <f>AA28*(U28-M28)*$H$2*IF(L28&lt;0,-1,1)</f>
        <v/>
      </c>
      <c r="AC28">
        <f>IF(W28,ABS(L28)*M28+ABS(S28)*U28,0)</f>
        <v/>
      </c>
      <c r="AD28">
        <f>IF(W28,ABS(L28+S28),0)</f>
        <v/>
      </c>
      <c r="AE28">
        <f>IF(V28,U28,IF(W28,AC28/AD28,IF(OR(X28,Y28),IF(Y28,0,M28),IF(Z28,U28,M28))))</f>
        <v/>
      </c>
      <c r="AF28">
        <f>AB28</f>
        <v/>
      </c>
      <c r="AG28">
        <f>ABS(S28)*$D$2</f>
        <v/>
      </c>
      <c r="AH28">
        <f>AF28-AG28</f>
        <v/>
      </c>
      <c r="AI28">
        <f>L28+S28</f>
        <v/>
      </c>
      <c r="AJ28">
        <f>AE28</f>
        <v/>
      </c>
      <c r="AK28">
        <f>N28+AH28</f>
        <v/>
      </c>
      <c r="AL28">
        <f>AI28*(F28-AJ28)*$H$2</f>
        <v/>
      </c>
      <c r="AM28">
        <f>AK28+AL28</f>
        <v/>
      </c>
      <c r="AN28">
        <f>MAX(AN27,AM28)</f>
        <v/>
      </c>
      <c r="AO28">
        <f>(AN28-AM28)/AN28*100</f>
        <v/>
      </c>
    </row>
    <row r="29">
      <c r="A29" t="n">
        <v>24</v>
      </c>
      <c r="B29" s="4" t="n">
        <v>45869.30208333334</v>
      </c>
      <c r="C29" t="n">
        <v>6566.5</v>
      </c>
      <c r="D29" t="n">
        <v>6568.75</v>
      </c>
      <c r="E29" t="n">
        <v>6564.5</v>
      </c>
      <c r="F29" t="n">
        <v>6566.75</v>
      </c>
      <c r="G29" t="n">
        <v>6451</v>
      </c>
      <c r="H29">
        <f>F29-C29</f>
        <v/>
      </c>
      <c r="I29">
        <f>AVERAGE(H22:H26)</f>
        <v/>
      </c>
      <c r="J29">
        <f>I29+$F$1</f>
        <v/>
      </c>
      <c r="K29">
        <f>MIN(MAX(J29,-$H$1),$H$1)</f>
        <v/>
      </c>
      <c r="L29">
        <f>AI28</f>
        <v/>
      </c>
      <c r="M29">
        <f>AJ28</f>
        <v/>
      </c>
      <c r="N29">
        <f>AK28</f>
        <v/>
      </c>
      <c r="O29">
        <f>N29+L29*(F29-M29)*$H$2</f>
        <v/>
      </c>
      <c r="P29">
        <f>K29*O29</f>
        <v/>
      </c>
      <c r="Q29">
        <f>F29*$H$2</f>
        <v/>
      </c>
      <c r="R29">
        <f>INT(P29/Q29)</f>
        <v/>
      </c>
      <c r="S29">
        <f>R29-L29</f>
        <v/>
      </c>
      <c r="T29">
        <f>IF(S29&gt;0,"BUY",IF(S29&lt;0,"SELL","HOLD"))</f>
        <v/>
      </c>
      <c r="U29">
        <f>IF(S29=0,0,F29+IF(S29&gt;0,$F$2,-$F$2))</f>
        <v/>
      </c>
      <c r="V29">
        <f>AND(L29=0,S29&lt;&gt;0)</f>
        <v/>
      </c>
      <c r="W29">
        <f>AND(S29&lt;&gt;0,SIGN(L29+S29)=SIGN(L29),ABS(L29+S29)&gt;ABS(L29),L29&lt;&gt;0)</f>
        <v/>
      </c>
      <c r="X29">
        <f>AND(S29&lt;&gt;0,SIGN(L29+S29)=SIGN(L29),ABS(L29+S29)&lt;ABS(L29))</f>
        <v/>
      </c>
      <c r="Y29">
        <f>AND(S29&lt;&gt;0,L29+S29=0)</f>
        <v/>
      </c>
      <c r="Z29">
        <f>AND(S29&lt;&gt;0,SIGN(L29+S29)&lt;&gt;SIGN(L29),L29+S29&lt;&gt;0,L29&lt;&gt;0)</f>
        <v/>
      </c>
      <c r="AA29">
        <f>IF(OR(X29,Y29),ABS(S29),IF(Z29,ABS(L29),0))</f>
        <v/>
      </c>
      <c r="AB29">
        <f>AA29*(U29-M29)*$H$2*IF(L29&lt;0,-1,1)</f>
        <v/>
      </c>
      <c r="AC29">
        <f>IF(W29,ABS(L29)*M29+ABS(S29)*U29,0)</f>
        <v/>
      </c>
      <c r="AD29">
        <f>IF(W29,ABS(L29+S29),0)</f>
        <v/>
      </c>
      <c r="AE29">
        <f>IF(V29,U29,IF(W29,AC29/AD29,IF(OR(X29,Y29),IF(Y29,0,M29),IF(Z29,U29,M29))))</f>
        <v/>
      </c>
      <c r="AF29">
        <f>AB29</f>
        <v/>
      </c>
      <c r="AG29">
        <f>ABS(S29)*$D$2</f>
        <v/>
      </c>
      <c r="AH29">
        <f>AF29-AG29</f>
        <v/>
      </c>
      <c r="AI29">
        <f>L29+S29</f>
        <v/>
      </c>
      <c r="AJ29">
        <f>AE29</f>
        <v/>
      </c>
      <c r="AK29">
        <f>N29+AH29</f>
        <v/>
      </c>
      <c r="AL29">
        <f>AI29*(F29-AJ29)*$H$2</f>
        <v/>
      </c>
      <c r="AM29">
        <f>AK29+AL29</f>
        <v/>
      </c>
      <c r="AN29">
        <f>MAX(AN28,AM29)</f>
        <v/>
      </c>
      <c r="AO29">
        <f>(AN29-AM29)/AN29*100</f>
        <v/>
      </c>
    </row>
    <row r="30">
      <c r="A30" t="n">
        <v>25</v>
      </c>
      <c r="B30" s="4" t="n">
        <v>45870.30208333334</v>
      </c>
      <c r="C30" t="n">
        <v>6427</v>
      </c>
      <c r="D30" t="n">
        <v>6428.5</v>
      </c>
      <c r="E30" t="n">
        <v>6423.25</v>
      </c>
      <c r="F30" t="n">
        <v>6427.75</v>
      </c>
      <c r="G30" t="n">
        <v>10533</v>
      </c>
      <c r="H30">
        <f>F30-C30</f>
        <v/>
      </c>
      <c r="I30">
        <f>AVERAGE(H23:H27)</f>
        <v/>
      </c>
      <c r="J30">
        <f>I30+$F$1</f>
        <v/>
      </c>
      <c r="K30">
        <f>MIN(MAX(J30,-$H$1),$H$1)</f>
        <v/>
      </c>
      <c r="L30">
        <f>AI29</f>
        <v/>
      </c>
      <c r="M30">
        <f>AJ29</f>
        <v/>
      </c>
      <c r="N30">
        <f>AK29</f>
        <v/>
      </c>
      <c r="O30">
        <f>N30+L30*(F30-M30)*$H$2</f>
        <v/>
      </c>
      <c r="P30">
        <f>K30*O30</f>
        <v/>
      </c>
      <c r="Q30">
        <f>F30*$H$2</f>
        <v/>
      </c>
      <c r="R30">
        <f>INT(P30/Q30)</f>
        <v/>
      </c>
      <c r="S30">
        <f>R30-L30</f>
        <v/>
      </c>
      <c r="T30">
        <f>IF(S30&gt;0,"BUY",IF(S30&lt;0,"SELL","HOLD"))</f>
        <v/>
      </c>
      <c r="U30">
        <f>IF(S30=0,0,F30+IF(S30&gt;0,$F$2,-$F$2))</f>
        <v/>
      </c>
      <c r="V30">
        <f>AND(L30=0,S30&lt;&gt;0)</f>
        <v/>
      </c>
      <c r="W30">
        <f>AND(S30&lt;&gt;0,SIGN(L30+S30)=SIGN(L30),ABS(L30+S30)&gt;ABS(L30),L30&lt;&gt;0)</f>
        <v/>
      </c>
      <c r="X30">
        <f>AND(S30&lt;&gt;0,SIGN(L30+S30)=SIGN(L30),ABS(L30+S30)&lt;ABS(L30))</f>
        <v/>
      </c>
      <c r="Y30">
        <f>AND(S30&lt;&gt;0,L30+S30=0)</f>
        <v/>
      </c>
      <c r="Z30">
        <f>AND(S30&lt;&gt;0,SIGN(L30+S30)&lt;&gt;SIGN(L30),L30+S30&lt;&gt;0,L30&lt;&gt;0)</f>
        <v/>
      </c>
      <c r="AA30">
        <f>IF(OR(X30,Y30),ABS(S30),IF(Z30,ABS(L30),0))</f>
        <v/>
      </c>
      <c r="AB30">
        <f>AA30*(U30-M30)*$H$2*IF(L30&lt;0,-1,1)</f>
        <v/>
      </c>
      <c r="AC30">
        <f>IF(W30,ABS(L30)*M30+ABS(S30)*U30,0)</f>
        <v/>
      </c>
      <c r="AD30">
        <f>IF(W30,ABS(L30+S30),0)</f>
        <v/>
      </c>
      <c r="AE30">
        <f>IF(V30,U30,IF(W30,AC30/AD30,IF(OR(X30,Y30),IF(Y30,0,M30),IF(Z30,U30,M30))))</f>
        <v/>
      </c>
      <c r="AF30">
        <f>AB30</f>
        <v/>
      </c>
      <c r="AG30">
        <f>ABS(S30)*$D$2</f>
        <v/>
      </c>
      <c r="AH30">
        <f>AF30-AG30</f>
        <v/>
      </c>
      <c r="AI30">
        <f>L30+S30</f>
        <v/>
      </c>
      <c r="AJ30">
        <f>AE30</f>
        <v/>
      </c>
      <c r="AK30">
        <f>N30+AH30</f>
        <v/>
      </c>
      <c r="AL30">
        <f>AI30*(F30-AJ30)*$H$2</f>
        <v/>
      </c>
      <c r="AM30">
        <f>AK30+AL30</f>
        <v/>
      </c>
      <c r="AN30">
        <f>MAX(AN29,AM30)</f>
        <v/>
      </c>
      <c r="AO30">
        <f>(AN30-AM30)/AN30*100</f>
        <v/>
      </c>
    </row>
    <row r="31">
      <c r="A31" t="n">
        <v>26</v>
      </c>
      <c r="B31" s="4" t="n">
        <v>45873.30208333334</v>
      </c>
      <c r="C31" t="n">
        <v>6407.25</v>
      </c>
      <c r="D31" t="n">
        <v>6413.75</v>
      </c>
      <c r="E31" t="n">
        <v>6405.75</v>
      </c>
      <c r="F31" t="n">
        <v>6412.5</v>
      </c>
      <c r="G31" t="n">
        <v>4612</v>
      </c>
      <c r="H31">
        <f>F31-C31</f>
        <v/>
      </c>
      <c r="I31">
        <f>AVERAGE(H24:H28)</f>
        <v/>
      </c>
      <c r="J31">
        <f>I31+$F$1</f>
        <v/>
      </c>
      <c r="K31">
        <f>MIN(MAX(J31,-$H$1),$H$1)</f>
        <v/>
      </c>
      <c r="L31">
        <f>AI30</f>
        <v/>
      </c>
      <c r="M31">
        <f>AJ30</f>
        <v/>
      </c>
      <c r="N31">
        <f>AK30</f>
        <v/>
      </c>
      <c r="O31">
        <f>N31+L31*(F31-M31)*$H$2</f>
        <v/>
      </c>
      <c r="P31">
        <f>K31*O31</f>
        <v/>
      </c>
      <c r="Q31">
        <f>F31*$H$2</f>
        <v/>
      </c>
      <c r="R31">
        <f>INT(P31/Q31)</f>
        <v/>
      </c>
      <c r="S31">
        <f>R31-L31</f>
        <v/>
      </c>
      <c r="T31">
        <f>IF(S31&gt;0,"BUY",IF(S31&lt;0,"SELL","HOLD"))</f>
        <v/>
      </c>
      <c r="U31">
        <f>IF(S31=0,0,F31+IF(S31&gt;0,$F$2,-$F$2))</f>
        <v/>
      </c>
      <c r="V31">
        <f>AND(L31=0,S31&lt;&gt;0)</f>
        <v/>
      </c>
      <c r="W31">
        <f>AND(S31&lt;&gt;0,SIGN(L31+S31)=SIGN(L31),ABS(L31+S31)&gt;ABS(L31),L31&lt;&gt;0)</f>
        <v/>
      </c>
      <c r="X31">
        <f>AND(S31&lt;&gt;0,SIGN(L31+S31)=SIGN(L31),ABS(L31+S31)&lt;ABS(L31))</f>
        <v/>
      </c>
      <c r="Y31">
        <f>AND(S31&lt;&gt;0,L31+S31=0)</f>
        <v/>
      </c>
      <c r="Z31">
        <f>AND(S31&lt;&gt;0,SIGN(L31+S31)&lt;&gt;SIGN(L31),L31+S31&lt;&gt;0,L31&lt;&gt;0)</f>
        <v/>
      </c>
      <c r="AA31">
        <f>IF(OR(X31,Y31),ABS(S31),IF(Z31,ABS(L31),0))</f>
        <v/>
      </c>
      <c r="AB31">
        <f>AA31*(U31-M31)*$H$2*IF(L31&lt;0,-1,1)</f>
        <v/>
      </c>
      <c r="AC31">
        <f>IF(W31,ABS(L31)*M31+ABS(S31)*U31,0)</f>
        <v/>
      </c>
      <c r="AD31">
        <f>IF(W31,ABS(L31+S31),0)</f>
        <v/>
      </c>
      <c r="AE31">
        <f>IF(V31,U31,IF(W31,AC31/AD31,IF(OR(X31,Y31),IF(Y31,0,M31),IF(Z31,U31,M31))))</f>
        <v/>
      </c>
      <c r="AF31">
        <f>AB31</f>
        <v/>
      </c>
      <c r="AG31">
        <f>ABS(S31)*$D$2</f>
        <v/>
      </c>
      <c r="AH31">
        <f>AF31-AG31</f>
        <v/>
      </c>
      <c r="AI31">
        <f>L31+S31</f>
        <v/>
      </c>
      <c r="AJ31">
        <f>AE31</f>
        <v/>
      </c>
      <c r="AK31">
        <f>N31+AH31</f>
        <v/>
      </c>
      <c r="AL31">
        <f>AI31*(F31-AJ31)*$H$2</f>
        <v/>
      </c>
      <c r="AM31">
        <f>AK31+AL31</f>
        <v/>
      </c>
      <c r="AN31">
        <f>MAX(AN30,AM31)</f>
        <v/>
      </c>
      <c r="AO31">
        <f>(AN31-AM31)/AN31*100</f>
        <v/>
      </c>
    </row>
    <row r="32">
      <c r="A32" t="n">
        <v>27</v>
      </c>
      <c r="B32" s="4" t="n">
        <v>45874.30208333334</v>
      </c>
      <c r="C32" t="n">
        <v>6487</v>
      </c>
      <c r="D32" t="n">
        <v>6487.25</v>
      </c>
      <c r="E32" t="n">
        <v>6473.75</v>
      </c>
      <c r="F32" t="n">
        <v>6478.75</v>
      </c>
      <c r="G32" t="n">
        <v>15019</v>
      </c>
      <c r="H32">
        <f>F32-C32</f>
        <v/>
      </c>
      <c r="I32">
        <f>AVERAGE(H25:H29)</f>
        <v/>
      </c>
      <c r="J32">
        <f>I32+$F$1</f>
        <v/>
      </c>
      <c r="K32">
        <f>MIN(MAX(J32,-$H$1),$H$1)</f>
        <v/>
      </c>
      <c r="L32">
        <f>AI31</f>
        <v/>
      </c>
      <c r="M32">
        <f>AJ31</f>
        <v/>
      </c>
      <c r="N32">
        <f>AK31</f>
        <v/>
      </c>
      <c r="O32">
        <f>N32+L32*(F32-M32)*$H$2</f>
        <v/>
      </c>
      <c r="P32">
        <f>K32*O32</f>
        <v/>
      </c>
      <c r="Q32">
        <f>F32*$H$2</f>
        <v/>
      </c>
      <c r="R32">
        <f>INT(P32/Q32)</f>
        <v/>
      </c>
      <c r="S32">
        <f>R32-L32</f>
        <v/>
      </c>
      <c r="T32">
        <f>IF(S32&gt;0,"BUY",IF(S32&lt;0,"SELL","HOLD"))</f>
        <v/>
      </c>
      <c r="U32">
        <f>IF(S32=0,0,F32+IF(S32&gt;0,$F$2,-$F$2))</f>
        <v/>
      </c>
      <c r="V32">
        <f>AND(L32=0,S32&lt;&gt;0)</f>
        <v/>
      </c>
      <c r="W32">
        <f>AND(S32&lt;&gt;0,SIGN(L32+S32)=SIGN(L32),ABS(L32+S32)&gt;ABS(L32),L32&lt;&gt;0)</f>
        <v/>
      </c>
      <c r="X32">
        <f>AND(S32&lt;&gt;0,SIGN(L32+S32)=SIGN(L32),ABS(L32+S32)&lt;ABS(L32))</f>
        <v/>
      </c>
      <c r="Y32">
        <f>AND(S32&lt;&gt;0,L32+S32=0)</f>
        <v/>
      </c>
      <c r="Z32">
        <f>AND(S32&lt;&gt;0,SIGN(L32+S32)&lt;&gt;SIGN(L32),L32+S32&lt;&gt;0,L32&lt;&gt;0)</f>
        <v/>
      </c>
      <c r="AA32">
        <f>IF(OR(X32,Y32),ABS(S32),IF(Z32,ABS(L32),0))</f>
        <v/>
      </c>
      <c r="AB32">
        <f>AA32*(U32-M32)*$H$2*IF(L32&lt;0,-1,1)</f>
        <v/>
      </c>
      <c r="AC32">
        <f>IF(W32,ABS(L32)*M32+ABS(S32)*U32,0)</f>
        <v/>
      </c>
      <c r="AD32">
        <f>IF(W32,ABS(L32+S32),0)</f>
        <v/>
      </c>
      <c r="AE32">
        <f>IF(V32,U32,IF(W32,AC32/AD32,IF(OR(X32,Y32),IF(Y32,0,M32),IF(Z32,U32,M32))))</f>
        <v/>
      </c>
      <c r="AF32">
        <f>AB32</f>
        <v/>
      </c>
      <c r="AG32">
        <f>ABS(S32)*$D$2</f>
        <v/>
      </c>
      <c r="AH32">
        <f>AF32-AG32</f>
        <v/>
      </c>
      <c r="AI32">
        <f>L32+S32</f>
        <v/>
      </c>
      <c r="AJ32">
        <f>AE32</f>
        <v/>
      </c>
      <c r="AK32">
        <f>N32+AH32</f>
        <v/>
      </c>
      <c r="AL32">
        <f>AI32*(F32-AJ32)*$H$2</f>
        <v/>
      </c>
      <c r="AM32">
        <f>AK32+AL32</f>
        <v/>
      </c>
      <c r="AN32">
        <f>MAX(AN31,AM32)</f>
        <v/>
      </c>
      <c r="AO32">
        <f>(AN32-AM32)/AN32*100</f>
        <v/>
      </c>
    </row>
    <row r="33">
      <c r="A33" t="n">
        <v>28</v>
      </c>
      <c r="B33" s="4" t="n">
        <v>45875.30208333334</v>
      </c>
      <c r="C33" t="n">
        <v>6442.25</v>
      </c>
      <c r="D33" t="n">
        <v>6450.5</v>
      </c>
      <c r="E33" t="n">
        <v>6441.25</v>
      </c>
      <c r="F33" t="n">
        <v>6444.25</v>
      </c>
      <c r="G33" t="n">
        <v>6287</v>
      </c>
      <c r="H33">
        <f>F33-C33</f>
        <v/>
      </c>
      <c r="I33">
        <f>AVERAGE(H26:H30)</f>
        <v/>
      </c>
      <c r="J33">
        <f>I33+$F$1</f>
        <v/>
      </c>
      <c r="K33">
        <f>MIN(MAX(J33,-$H$1),$H$1)</f>
        <v/>
      </c>
      <c r="L33">
        <f>AI32</f>
        <v/>
      </c>
      <c r="M33">
        <f>AJ32</f>
        <v/>
      </c>
      <c r="N33">
        <f>AK32</f>
        <v/>
      </c>
      <c r="O33">
        <f>N33+L33*(F33-M33)*$H$2</f>
        <v/>
      </c>
      <c r="P33">
        <f>K33*O33</f>
        <v/>
      </c>
      <c r="Q33">
        <f>F33*$H$2</f>
        <v/>
      </c>
      <c r="R33">
        <f>INT(P33/Q33)</f>
        <v/>
      </c>
      <c r="S33">
        <f>R33-L33</f>
        <v/>
      </c>
      <c r="T33">
        <f>IF(S33&gt;0,"BUY",IF(S33&lt;0,"SELL","HOLD"))</f>
        <v/>
      </c>
      <c r="U33">
        <f>IF(S33=0,0,F33+IF(S33&gt;0,$F$2,-$F$2))</f>
        <v/>
      </c>
      <c r="V33">
        <f>AND(L33=0,S33&lt;&gt;0)</f>
        <v/>
      </c>
      <c r="W33">
        <f>AND(S33&lt;&gt;0,SIGN(L33+S33)=SIGN(L33),ABS(L33+S33)&gt;ABS(L33),L33&lt;&gt;0)</f>
        <v/>
      </c>
      <c r="X33">
        <f>AND(S33&lt;&gt;0,SIGN(L33+S33)=SIGN(L33),ABS(L33+S33)&lt;ABS(L33))</f>
        <v/>
      </c>
      <c r="Y33">
        <f>AND(S33&lt;&gt;0,L33+S33=0)</f>
        <v/>
      </c>
      <c r="Z33">
        <f>AND(S33&lt;&gt;0,SIGN(L33+S33)&lt;&gt;SIGN(L33),L33+S33&lt;&gt;0,L33&lt;&gt;0)</f>
        <v/>
      </c>
      <c r="AA33">
        <f>IF(OR(X33,Y33),ABS(S33),IF(Z33,ABS(L33),0))</f>
        <v/>
      </c>
      <c r="AB33">
        <f>AA33*(U33-M33)*$H$2*IF(L33&lt;0,-1,1)</f>
        <v/>
      </c>
      <c r="AC33">
        <f>IF(W33,ABS(L33)*M33+ABS(S33)*U33,0)</f>
        <v/>
      </c>
      <c r="AD33">
        <f>IF(W33,ABS(L33+S33),0)</f>
        <v/>
      </c>
      <c r="AE33">
        <f>IF(V33,U33,IF(W33,AC33/AD33,IF(OR(X33,Y33),IF(Y33,0,M33),IF(Z33,U33,M33))))</f>
        <v/>
      </c>
      <c r="AF33">
        <f>AB33</f>
        <v/>
      </c>
      <c r="AG33">
        <f>ABS(S33)*$D$2</f>
        <v/>
      </c>
      <c r="AH33">
        <f>AF33-AG33</f>
        <v/>
      </c>
      <c r="AI33">
        <f>L33+S33</f>
        <v/>
      </c>
      <c r="AJ33">
        <f>AE33</f>
        <v/>
      </c>
      <c r="AK33">
        <f>N33+AH33</f>
        <v/>
      </c>
      <c r="AL33">
        <f>AI33*(F33-AJ33)*$H$2</f>
        <v/>
      </c>
      <c r="AM33">
        <f>AK33+AL33</f>
        <v/>
      </c>
      <c r="AN33">
        <f>MAX(AN32,AM33)</f>
        <v/>
      </c>
      <c r="AO33">
        <f>(AN33-AM33)/AN33*100</f>
        <v/>
      </c>
    </row>
    <row r="34">
      <c r="A34" t="n">
        <v>29</v>
      </c>
      <c r="B34" s="4" t="n">
        <v>45876.30208333334</v>
      </c>
      <c r="C34" t="n">
        <v>6519.75</v>
      </c>
      <c r="D34" t="n">
        <v>6522.5</v>
      </c>
      <c r="E34" t="n">
        <v>6517.5</v>
      </c>
      <c r="F34" t="n">
        <v>6520.5</v>
      </c>
      <c r="G34" t="n">
        <v>5439</v>
      </c>
      <c r="H34">
        <f>F34-C34</f>
        <v/>
      </c>
      <c r="I34">
        <f>AVERAGE(H27:H31)</f>
        <v/>
      </c>
      <c r="J34">
        <f>I34+$F$1</f>
        <v/>
      </c>
      <c r="K34">
        <f>MIN(MAX(J34,-$H$1),$H$1)</f>
        <v/>
      </c>
      <c r="L34">
        <f>AI33</f>
        <v/>
      </c>
      <c r="M34">
        <f>AJ33</f>
        <v/>
      </c>
      <c r="N34">
        <f>AK33</f>
        <v/>
      </c>
      <c r="O34">
        <f>N34+L34*(F34-M34)*$H$2</f>
        <v/>
      </c>
      <c r="P34">
        <f>K34*O34</f>
        <v/>
      </c>
      <c r="Q34">
        <f>F34*$H$2</f>
        <v/>
      </c>
      <c r="R34">
        <f>INT(P34/Q34)</f>
        <v/>
      </c>
      <c r="S34">
        <f>R34-L34</f>
        <v/>
      </c>
      <c r="T34">
        <f>IF(S34&gt;0,"BUY",IF(S34&lt;0,"SELL","HOLD"))</f>
        <v/>
      </c>
      <c r="U34">
        <f>IF(S34=0,0,F34+IF(S34&gt;0,$F$2,-$F$2))</f>
        <v/>
      </c>
      <c r="V34">
        <f>AND(L34=0,S34&lt;&gt;0)</f>
        <v/>
      </c>
      <c r="W34">
        <f>AND(S34&lt;&gt;0,SIGN(L34+S34)=SIGN(L34),ABS(L34+S34)&gt;ABS(L34),L34&lt;&gt;0)</f>
        <v/>
      </c>
      <c r="X34">
        <f>AND(S34&lt;&gt;0,SIGN(L34+S34)=SIGN(L34),ABS(L34+S34)&lt;ABS(L34))</f>
        <v/>
      </c>
      <c r="Y34">
        <f>AND(S34&lt;&gt;0,L34+S34=0)</f>
        <v/>
      </c>
      <c r="Z34">
        <f>AND(S34&lt;&gt;0,SIGN(L34+S34)&lt;&gt;SIGN(L34),L34+S34&lt;&gt;0,L34&lt;&gt;0)</f>
        <v/>
      </c>
      <c r="AA34">
        <f>IF(OR(X34,Y34),ABS(S34),IF(Z34,ABS(L34),0))</f>
        <v/>
      </c>
      <c r="AB34">
        <f>AA34*(U34-M34)*$H$2*IF(L34&lt;0,-1,1)</f>
        <v/>
      </c>
      <c r="AC34">
        <f>IF(W34,ABS(L34)*M34+ABS(S34)*U34,0)</f>
        <v/>
      </c>
      <c r="AD34">
        <f>IF(W34,ABS(L34+S34),0)</f>
        <v/>
      </c>
      <c r="AE34">
        <f>IF(V34,U34,IF(W34,AC34/AD34,IF(OR(X34,Y34),IF(Y34,0,M34),IF(Z34,U34,M34))))</f>
        <v/>
      </c>
      <c r="AF34">
        <f>AB34</f>
        <v/>
      </c>
      <c r="AG34">
        <f>ABS(S34)*$D$2</f>
        <v/>
      </c>
      <c r="AH34">
        <f>AF34-AG34</f>
        <v/>
      </c>
      <c r="AI34">
        <f>L34+S34</f>
        <v/>
      </c>
      <c r="AJ34">
        <f>AE34</f>
        <v/>
      </c>
      <c r="AK34">
        <f>N34+AH34</f>
        <v/>
      </c>
      <c r="AL34">
        <f>AI34*(F34-AJ34)*$H$2</f>
        <v/>
      </c>
      <c r="AM34">
        <f>AK34+AL34</f>
        <v/>
      </c>
      <c r="AN34">
        <f>MAX(AN33,AM34)</f>
        <v/>
      </c>
      <c r="AO34">
        <f>(AN34-AM34)/AN34*100</f>
        <v/>
      </c>
    </row>
    <row r="35">
      <c r="A35" t="n">
        <v>30</v>
      </c>
      <c r="B35" s="4" t="n">
        <v>45877.30208333334</v>
      </c>
      <c r="C35" t="n">
        <v>6494.5</v>
      </c>
      <c r="D35" t="n">
        <v>6494.75</v>
      </c>
      <c r="E35" t="n">
        <v>6487.5</v>
      </c>
      <c r="F35" t="n">
        <v>6491.5</v>
      </c>
      <c r="G35" t="n">
        <v>7320</v>
      </c>
      <c r="H35">
        <f>F35-C35</f>
        <v/>
      </c>
      <c r="I35">
        <f>AVERAGE(H28:H32)</f>
        <v/>
      </c>
      <c r="J35">
        <f>I35+$F$1</f>
        <v/>
      </c>
      <c r="K35">
        <f>MIN(MAX(J35,-$H$1),$H$1)</f>
        <v/>
      </c>
      <c r="L35">
        <f>AI34</f>
        <v/>
      </c>
      <c r="M35">
        <f>AJ34</f>
        <v/>
      </c>
      <c r="N35">
        <f>AK34</f>
        <v/>
      </c>
      <c r="O35">
        <f>N35+L35*(F35-M35)*$H$2</f>
        <v/>
      </c>
      <c r="P35">
        <f>K35*O35</f>
        <v/>
      </c>
      <c r="Q35">
        <f>F35*$H$2</f>
        <v/>
      </c>
      <c r="R35">
        <f>INT(P35/Q35)</f>
        <v/>
      </c>
      <c r="S35">
        <f>R35-L35</f>
        <v/>
      </c>
      <c r="T35">
        <f>IF(S35&gt;0,"BUY",IF(S35&lt;0,"SELL","HOLD"))</f>
        <v/>
      </c>
      <c r="U35">
        <f>IF(S35=0,0,F35+IF(S35&gt;0,$F$2,-$F$2))</f>
        <v/>
      </c>
      <c r="V35">
        <f>AND(L35=0,S35&lt;&gt;0)</f>
        <v/>
      </c>
      <c r="W35">
        <f>AND(S35&lt;&gt;0,SIGN(L35+S35)=SIGN(L35),ABS(L35+S35)&gt;ABS(L35),L35&lt;&gt;0)</f>
        <v/>
      </c>
      <c r="X35">
        <f>AND(S35&lt;&gt;0,SIGN(L35+S35)=SIGN(L35),ABS(L35+S35)&lt;ABS(L35))</f>
        <v/>
      </c>
      <c r="Y35">
        <f>AND(S35&lt;&gt;0,L35+S35=0)</f>
        <v/>
      </c>
      <c r="Z35">
        <f>AND(S35&lt;&gt;0,SIGN(L35+S35)&lt;&gt;SIGN(L35),L35+S35&lt;&gt;0,L35&lt;&gt;0)</f>
        <v/>
      </c>
      <c r="AA35">
        <f>IF(OR(X35,Y35),ABS(S35),IF(Z35,ABS(L35),0))</f>
        <v/>
      </c>
      <c r="AB35">
        <f>AA35*(U35-M35)*$H$2*IF(L35&lt;0,-1,1)</f>
        <v/>
      </c>
      <c r="AC35">
        <f>IF(W35,ABS(L35)*M35+ABS(S35)*U35,0)</f>
        <v/>
      </c>
      <c r="AD35">
        <f>IF(W35,ABS(L35+S35),0)</f>
        <v/>
      </c>
      <c r="AE35">
        <f>IF(V35,U35,IF(W35,AC35/AD35,IF(OR(X35,Y35),IF(Y35,0,M35),IF(Z35,U35,M35))))</f>
        <v/>
      </c>
      <c r="AF35">
        <f>AB35</f>
        <v/>
      </c>
      <c r="AG35">
        <f>ABS(S35)*$D$2</f>
        <v/>
      </c>
      <c r="AH35">
        <f>AF35-AG35</f>
        <v/>
      </c>
      <c r="AI35">
        <f>L35+S35</f>
        <v/>
      </c>
      <c r="AJ35">
        <f>AE35</f>
        <v/>
      </c>
      <c r="AK35">
        <f>N35+AH35</f>
        <v/>
      </c>
      <c r="AL35">
        <f>AI35*(F35-AJ35)*$H$2</f>
        <v/>
      </c>
      <c r="AM35">
        <f>AK35+AL35</f>
        <v/>
      </c>
      <c r="AN35">
        <f>MAX(AN34,AM35)</f>
        <v/>
      </c>
      <c r="AO35">
        <f>(AN35-AM35)/AN35*100</f>
        <v/>
      </c>
    </row>
    <row r="36">
      <c r="A36" t="n">
        <v>31</v>
      </c>
      <c r="B36" s="4" t="n">
        <v>45880.30208333334</v>
      </c>
      <c r="C36" t="n">
        <v>6536.75</v>
      </c>
      <c r="D36" t="n">
        <v>6538.75</v>
      </c>
      <c r="E36" t="n">
        <v>6532.5</v>
      </c>
      <c r="F36" t="n">
        <v>6533.75</v>
      </c>
      <c r="G36" t="n">
        <v>3265</v>
      </c>
      <c r="H36">
        <f>F36-C36</f>
        <v/>
      </c>
      <c r="I36">
        <f>AVERAGE(H29:H33)</f>
        <v/>
      </c>
      <c r="J36">
        <f>I36+$F$1</f>
        <v/>
      </c>
      <c r="K36">
        <f>MIN(MAX(J36,-$H$1),$H$1)</f>
        <v/>
      </c>
      <c r="L36">
        <f>AI35</f>
        <v/>
      </c>
      <c r="M36">
        <f>AJ35</f>
        <v/>
      </c>
      <c r="N36">
        <f>AK35</f>
        <v/>
      </c>
      <c r="O36">
        <f>N36+L36*(F36-M36)*$H$2</f>
        <v/>
      </c>
      <c r="P36">
        <f>K36*O36</f>
        <v/>
      </c>
      <c r="Q36">
        <f>F36*$H$2</f>
        <v/>
      </c>
      <c r="R36">
        <f>INT(P36/Q36)</f>
        <v/>
      </c>
      <c r="S36">
        <f>R36-L36</f>
        <v/>
      </c>
      <c r="T36">
        <f>IF(S36&gt;0,"BUY",IF(S36&lt;0,"SELL","HOLD"))</f>
        <v/>
      </c>
      <c r="U36">
        <f>IF(S36=0,0,F36+IF(S36&gt;0,$F$2,-$F$2))</f>
        <v/>
      </c>
      <c r="V36">
        <f>AND(L36=0,S36&lt;&gt;0)</f>
        <v/>
      </c>
      <c r="W36">
        <f>AND(S36&lt;&gt;0,SIGN(L36+S36)=SIGN(L36),ABS(L36+S36)&gt;ABS(L36),L36&lt;&gt;0)</f>
        <v/>
      </c>
      <c r="X36">
        <f>AND(S36&lt;&gt;0,SIGN(L36+S36)=SIGN(L36),ABS(L36+S36)&lt;ABS(L36))</f>
        <v/>
      </c>
      <c r="Y36">
        <f>AND(S36&lt;&gt;0,L36+S36=0)</f>
        <v/>
      </c>
      <c r="Z36">
        <f>AND(S36&lt;&gt;0,SIGN(L36+S36)&lt;&gt;SIGN(L36),L36+S36&lt;&gt;0,L36&lt;&gt;0)</f>
        <v/>
      </c>
      <c r="AA36">
        <f>IF(OR(X36,Y36),ABS(S36),IF(Z36,ABS(L36),0))</f>
        <v/>
      </c>
      <c r="AB36">
        <f>AA36*(U36-M36)*$H$2*IF(L36&lt;0,-1,1)</f>
        <v/>
      </c>
      <c r="AC36">
        <f>IF(W36,ABS(L36)*M36+ABS(S36)*U36,0)</f>
        <v/>
      </c>
      <c r="AD36">
        <f>IF(W36,ABS(L36+S36),0)</f>
        <v/>
      </c>
      <c r="AE36">
        <f>IF(V36,U36,IF(W36,AC36/AD36,IF(OR(X36,Y36),IF(Y36,0,M36),IF(Z36,U36,M36))))</f>
        <v/>
      </c>
      <c r="AF36">
        <f>AB36</f>
        <v/>
      </c>
      <c r="AG36">
        <f>ABS(S36)*$D$2</f>
        <v/>
      </c>
      <c r="AH36">
        <f>AF36-AG36</f>
        <v/>
      </c>
      <c r="AI36">
        <f>L36+S36</f>
        <v/>
      </c>
      <c r="AJ36">
        <f>AE36</f>
        <v/>
      </c>
      <c r="AK36">
        <f>N36+AH36</f>
        <v/>
      </c>
      <c r="AL36">
        <f>AI36*(F36-AJ36)*$H$2</f>
        <v/>
      </c>
      <c r="AM36">
        <f>AK36+AL36</f>
        <v/>
      </c>
      <c r="AN36">
        <f>MAX(AN35,AM36)</f>
        <v/>
      </c>
      <c r="AO36">
        <f>(AN36-AM36)/AN36*100</f>
        <v/>
      </c>
    </row>
    <row r="37">
      <c r="A37" t="n">
        <v>32</v>
      </c>
      <c r="B37" s="4" t="n">
        <v>45881.30208333334</v>
      </c>
      <c r="C37" t="n">
        <v>6513</v>
      </c>
      <c r="D37" t="n">
        <v>6518.5</v>
      </c>
      <c r="E37" t="n">
        <v>6509.25</v>
      </c>
      <c r="F37" t="n">
        <v>6515.25</v>
      </c>
      <c r="G37" t="n">
        <v>8794</v>
      </c>
      <c r="H37">
        <f>F37-C37</f>
        <v/>
      </c>
      <c r="I37">
        <f>AVERAGE(H30:H34)</f>
        <v/>
      </c>
      <c r="J37">
        <f>I37+$F$1</f>
        <v/>
      </c>
      <c r="K37">
        <f>MIN(MAX(J37,-$H$1),$H$1)</f>
        <v/>
      </c>
      <c r="L37">
        <f>AI36</f>
        <v/>
      </c>
      <c r="M37">
        <f>AJ36</f>
        <v/>
      </c>
      <c r="N37">
        <f>AK36</f>
        <v/>
      </c>
      <c r="O37">
        <f>N37+L37*(F37-M37)*$H$2</f>
        <v/>
      </c>
      <c r="P37">
        <f>K37*O37</f>
        <v/>
      </c>
      <c r="Q37">
        <f>F37*$H$2</f>
        <v/>
      </c>
      <c r="R37">
        <f>INT(P37/Q37)</f>
        <v/>
      </c>
      <c r="S37">
        <f>R37-L37</f>
        <v/>
      </c>
      <c r="T37">
        <f>IF(S37&gt;0,"BUY",IF(S37&lt;0,"SELL","HOLD"))</f>
        <v/>
      </c>
      <c r="U37">
        <f>IF(S37=0,0,F37+IF(S37&gt;0,$F$2,-$F$2))</f>
        <v/>
      </c>
      <c r="V37">
        <f>AND(L37=0,S37&lt;&gt;0)</f>
        <v/>
      </c>
      <c r="W37">
        <f>AND(S37&lt;&gt;0,SIGN(L37+S37)=SIGN(L37),ABS(L37+S37)&gt;ABS(L37),L37&lt;&gt;0)</f>
        <v/>
      </c>
      <c r="X37">
        <f>AND(S37&lt;&gt;0,SIGN(L37+S37)=SIGN(L37),ABS(L37+S37)&lt;ABS(L37))</f>
        <v/>
      </c>
      <c r="Y37">
        <f>AND(S37&lt;&gt;0,L37+S37=0)</f>
        <v/>
      </c>
      <c r="Z37">
        <f>AND(S37&lt;&gt;0,SIGN(L37+S37)&lt;&gt;SIGN(L37),L37+S37&lt;&gt;0,L37&lt;&gt;0)</f>
        <v/>
      </c>
      <c r="AA37">
        <f>IF(OR(X37,Y37),ABS(S37),IF(Z37,ABS(L37),0))</f>
        <v/>
      </c>
      <c r="AB37">
        <f>AA37*(U37-M37)*$H$2*IF(L37&lt;0,-1,1)</f>
        <v/>
      </c>
      <c r="AC37">
        <f>IF(W37,ABS(L37)*M37+ABS(S37)*U37,0)</f>
        <v/>
      </c>
      <c r="AD37">
        <f>IF(W37,ABS(L37+S37),0)</f>
        <v/>
      </c>
      <c r="AE37">
        <f>IF(V37,U37,IF(W37,AC37/AD37,IF(OR(X37,Y37),IF(Y37,0,M37),IF(Z37,U37,M37))))</f>
        <v/>
      </c>
      <c r="AF37">
        <f>AB37</f>
        <v/>
      </c>
      <c r="AG37">
        <f>ABS(S37)*$D$2</f>
        <v/>
      </c>
      <c r="AH37">
        <f>AF37-AG37</f>
        <v/>
      </c>
      <c r="AI37">
        <f>L37+S37</f>
        <v/>
      </c>
      <c r="AJ37">
        <f>AE37</f>
        <v/>
      </c>
      <c r="AK37">
        <f>N37+AH37</f>
        <v/>
      </c>
      <c r="AL37">
        <f>AI37*(F37-AJ37)*$H$2</f>
        <v/>
      </c>
      <c r="AM37">
        <f>AK37+AL37</f>
        <v/>
      </c>
      <c r="AN37">
        <f>MAX(AN36,AM37)</f>
        <v/>
      </c>
      <c r="AO37">
        <f>(AN37-AM37)/AN37*100</f>
        <v/>
      </c>
    </row>
    <row r="38">
      <c r="A38" t="n">
        <v>33</v>
      </c>
      <c r="B38" s="4" t="n">
        <v>45882.30208333334</v>
      </c>
      <c r="C38" t="n">
        <v>6594</v>
      </c>
      <c r="D38" t="n">
        <v>6596</v>
      </c>
      <c r="E38" t="n">
        <v>6593.75</v>
      </c>
      <c r="F38" t="n">
        <v>6595.5</v>
      </c>
      <c r="G38" t="n">
        <v>3059</v>
      </c>
      <c r="H38">
        <f>F38-C38</f>
        <v/>
      </c>
      <c r="I38">
        <f>AVERAGE(H31:H35)</f>
        <v/>
      </c>
      <c r="J38">
        <f>I38+$F$1</f>
        <v/>
      </c>
      <c r="K38">
        <f>MIN(MAX(J38,-$H$1),$H$1)</f>
        <v/>
      </c>
      <c r="L38">
        <f>AI37</f>
        <v/>
      </c>
      <c r="M38">
        <f>AJ37</f>
        <v/>
      </c>
      <c r="N38">
        <f>AK37</f>
        <v/>
      </c>
      <c r="O38">
        <f>N38+L38*(F38-M38)*$H$2</f>
        <v/>
      </c>
      <c r="P38">
        <f>K38*O38</f>
        <v/>
      </c>
      <c r="Q38">
        <f>F38*$H$2</f>
        <v/>
      </c>
      <c r="R38">
        <f>INT(P38/Q38)</f>
        <v/>
      </c>
      <c r="S38">
        <f>R38-L38</f>
        <v/>
      </c>
      <c r="T38">
        <f>IF(S38&gt;0,"BUY",IF(S38&lt;0,"SELL","HOLD"))</f>
        <v/>
      </c>
      <c r="U38">
        <f>IF(S38=0,0,F38+IF(S38&gt;0,$F$2,-$F$2))</f>
        <v/>
      </c>
      <c r="V38">
        <f>AND(L38=0,S38&lt;&gt;0)</f>
        <v/>
      </c>
      <c r="W38">
        <f>AND(S38&lt;&gt;0,SIGN(L38+S38)=SIGN(L38),ABS(L38+S38)&gt;ABS(L38),L38&lt;&gt;0)</f>
        <v/>
      </c>
      <c r="X38">
        <f>AND(S38&lt;&gt;0,SIGN(L38+S38)=SIGN(L38),ABS(L38+S38)&lt;ABS(L38))</f>
        <v/>
      </c>
      <c r="Y38">
        <f>AND(S38&lt;&gt;0,L38+S38=0)</f>
        <v/>
      </c>
      <c r="Z38">
        <f>AND(S38&lt;&gt;0,SIGN(L38+S38)&lt;&gt;SIGN(L38),L38+S38&lt;&gt;0,L38&lt;&gt;0)</f>
        <v/>
      </c>
      <c r="AA38">
        <f>IF(OR(X38,Y38),ABS(S38),IF(Z38,ABS(L38),0))</f>
        <v/>
      </c>
      <c r="AB38">
        <f>AA38*(U38-M38)*$H$2*IF(L38&lt;0,-1,1)</f>
        <v/>
      </c>
      <c r="AC38">
        <f>IF(W38,ABS(L38)*M38+ABS(S38)*U38,0)</f>
        <v/>
      </c>
      <c r="AD38">
        <f>IF(W38,ABS(L38+S38),0)</f>
        <v/>
      </c>
      <c r="AE38">
        <f>IF(V38,U38,IF(W38,AC38/AD38,IF(OR(X38,Y38),IF(Y38,0,M38),IF(Z38,U38,M38))))</f>
        <v/>
      </c>
      <c r="AF38">
        <f>AB38</f>
        <v/>
      </c>
      <c r="AG38">
        <f>ABS(S38)*$D$2</f>
        <v/>
      </c>
      <c r="AH38">
        <f>AF38-AG38</f>
        <v/>
      </c>
      <c r="AI38">
        <f>L38+S38</f>
        <v/>
      </c>
      <c r="AJ38">
        <f>AE38</f>
        <v/>
      </c>
      <c r="AK38">
        <f>N38+AH38</f>
        <v/>
      </c>
      <c r="AL38">
        <f>AI38*(F38-AJ38)*$H$2</f>
        <v/>
      </c>
      <c r="AM38">
        <f>AK38+AL38</f>
        <v/>
      </c>
      <c r="AN38">
        <f>MAX(AN37,AM38)</f>
        <v/>
      </c>
      <c r="AO38">
        <f>(AN38-AM38)/AN38*100</f>
        <v/>
      </c>
    </row>
    <row r="39">
      <c r="A39" t="n">
        <v>34</v>
      </c>
      <c r="B39" s="4" t="n">
        <v>45883.30208333334</v>
      </c>
      <c r="C39" t="n">
        <v>6603.75</v>
      </c>
      <c r="D39" t="n">
        <v>6604.75</v>
      </c>
      <c r="E39" t="n">
        <v>6598.75</v>
      </c>
      <c r="F39" t="n">
        <v>6601.25</v>
      </c>
      <c r="G39" t="n">
        <v>3986</v>
      </c>
      <c r="H39">
        <f>F39-C39</f>
        <v/>
      </c>
      <c r="I39">
        <f>AVERAGE(H32:H36)</f>
        <v/>
      </c>
      <c r="J39">
        <f>I39+$F$1</f>
        <v/>
      </c>
      <c r="K39">
        <f>MIN(MAX(J39,-$H$1),$H$1)</f>
        <v/>
      </c>
      <c r="L39">
        <f>AI38</f>
        <v/>
      </c>
      <c r="M39">
        <f>AJ38</f>
        <v/>
      </c>
      <c r="N39">
        <f>AK38</f>
        <v/>
      </c>
      <c r="O39">
        <f>N39+L39*(F39-M39)*$H$2</f>
        <v/>
      </c>
      <c r="P39">
        <f>K39*O39</f>
        <v/>
      </c>
      <c r="Q39">
        <f>F39*$H$2</f>
        <v/>
      </c>
      <c r="R39">
        <f>INT(P39/Q39)</f>
        <v/>
      </c>
      <c r="S39">
        <f>R39-L39</f>
        <v/>
      </c>
      <c r="T39">
        <f>IF(S39&gt;0,"BUY",IF(S39&lt;0,"SELL","HOLD"))</f>
        <v/>
      </c>
      <c r="U39">
        <f>IF(S39=0,0,F39+IF(S39&gt;0,$F$2,-$F$2))</f>
        <v/>
      </c>
      <c r="V39">
        <f>AND(L39=0,S39&lt;&gt;0)</f>
        <v/>
      </c>
      <c r="W39">
        <f>AND(S39&lt;&gt;0,SIGN(L39+S39)=SIGN(L39),ABS(L39+S39)&gt;ABS(L39),L39&lt;&gt;0)</f>
        <v/>
      </c>
      <c r="X39">
        <f>AND(S39&lt;&gt;0,SIGN(L39+S39)=SIGN(L39),ABS(L39+S39)&lt;ABS(L39))</f>
        <v/>
      </c>
      <c r="Y39">
        <f>AND(S39&lt;&gt;0,L39+S39=0)</f>
        <v/>
      </c>
      <c r="Z39">
        <f>AND(S39&lt;&gt;0,SIGN(L39+S39)&lt;&gt;SIGN(L39),L39+S39&lt;&gt;0,L39&lt;&gt;0)</f>
        <v/>
      </c>
      <c r="AA39">
        <f>IF(OR(X39,Y39),ABS(S39),IF(Z39,ABS(L39),0))</f>
        <v/>
      </c>
      <c r="AB39">
        <f>AA39*(U39-M39)*$H$2*IF(L39&lt;0,-1,1)</f>
        <v/>
      </c>
      <c r="AC39">
        <f>IF(W39,ABS(L39)*M39+ABS(S39)*U39,0)</f>
        <v/>
      </c>
      <c r="AD39">
        <f>IF(W39,ABS(L39+S39),0)</f>
        <v/>
      </c>
      <c r="AE39">
        <f>IF(V39,U39,IF(W39,AC39/AD39,IF(OR(X39,Y39),IF(Y39,0,M39),IF(Z39,U39,M39))))</f>
        <v/>
      </c>
      <c r="AF39">
        <f>AB39</f>
        <v/>
      </c>
      <c r="AG39">
        <f>ABS(S39)*$D$2</f>
        <v/>
      </c>
      <c r="AH39">
        <f>AF39-AG39</f>
        <v/>
      </c>
      <c r="AI39">
        <f>L39+S39</f>
        <v/>
      </c>
      <c r="AJ39">
        <f>AE39</f>
        <v/>
      </c>
      <c r="AK39">
        <f>N39+AH39</f>
        <v/>
      </c>
      <c r="AL39">
        <f>AI39*(F39-AJ39)*$H$2</f>
        <v/>
      </c>
      <c r="AM39">
        <f>AK39+AL39</f>
        <v/>
      </c>
      <c r="AN39">
        <f>MAX(AN38,AM39)</f>
        <v/>
      </c>
      <c r="AO39">
        <f>(AN39-AM39)/AN39*100</f>
        <v/>
      </c>
    </row>
    <row r="40">
      <c r="A40" t="n">
        <v>35</v>
      </c>
      <c r="B40" s="4" t="n">
        <v>45884.30208333334</v>
      </c>
      <c r="C40" t="n">
        <v>6611</v>
      </c>
      <c r="D40" t="n">
        <v>6611.25</v>
      </c>
      <c r="E40" t="n">
        <v>6605.5</v>
      </c>
      <c r="F40" t="n">
        <v>6608.75</v>
      </c>
      <c r="G40" t="n">
        <v>8279</v>
      </c>
      <c r="H40">
        <f>F40-C40</f>
        <v/>
      </c>
      <c r="I40">
        <f>AVERAGE(H33:H37)</f>
        <v/>
      </c>
      <c r="J40">
        <f>I40+$F$1</f>
        <v/>
      </c>
      <c r="K40">
        <f>MIN(MAX(J40,-$H$1),$H$1)</f>
        <v/>
      </c>
      <c r="L40">
        <f>AI39</f>
        <v/>
      </c>
      <c r="M40">
        <f>AJ39</f>
        <v/>
      </c>
      <c r="N40">
        <f>AK39</f>
        <v/>
      </c>
      <c r="O40">
        <f>N40+L40*(F40-M40)*$H$2</f>
        <v/>
      </c>
      <c r="P40">
        <f>K40*O40</f>
        <v/>
      </c>
      <c r="Q40">
        <f>F40*$H$2</f>
        <v/>
      </c>
      <c r="R40">
        <f>INT(P40/Q40)</f>
        <v/>
      </c>
      <c r="S40">
        <f>R40-L40</f>
        <v/>
      </c>
      <c r="T40">
        <f>IF(S40&gt;0,"BUY",IF(S40&lt;0,"SELL","HOLD"))</f>
        <v/>
      </c>
      <c r="U40">
        <f>IF(S40=0,0,F40+IF(S40&gt;0,$F$2,-$F$2))</f>
        <v/>
      </c>
      <c r="V40">
        <f>AND(L40=0,S40&lt;&gt;0)</f>
        <v/>
      </c>
      <c r="W40">
        <f>AND(S40&lt;&gt;0,SIGN(L40+S40)=SIGN(L40),ABS(L40+S40)&gt;ABS(L40),L40&lt;&gt;0)</f>
        <v/>
      </c>
      <c r="X40">
        <f>AND(S40&lt;&gt;0,SIGN(L40+S40)=SIGN(L40),ABS(L40+S40)&lt;ABS(L40))</f>
        <v/>
      </c>
      <c r="Y40">
        <f>AND(S40&lt;&gt;0,L40+S40=0)</f>
        <v/>
      </c>
      <c r="Z40">
        <f>AND(S40&lt;&gt;0,SIGN(L40+S40)&lt;&gt;SIGN(L40),L40+S40&lt;&gt;0,L40&lt;&gt;0)</f>
        <v/>
      </c>
      <c r="AA40">
        <f>IF(OR(X40,Y40),ABS(S40),IF(Z40,ABS(L40),0))</f>
        <v/>
      </c>
      <c r="AB40">
        <f>AA40*(U40-M40)*$H$2*IF(L40&lt;0,-1,1)</f>
        <v/>
      </c>
      <c r="AC40">
        <f>IF(W40,ABS(L40)*M40+ABS(S40)*U40,0)</f>
        <v/>
      </c>
      <c r="AD40">
        <f>IF(W40,ABS(L40+S40),0)</f>
        <v/>
      </c>
      <c r="AE40">
        <f>IF(V40,U40,IF(W40,AC40/AD40,IF(OR(X40,Y40),IF(Y40,0,M40),IF(Z40,U40,M40))))</f>
        <v/>
      </c>
      <c r="AF40">
        <f>AB40</f>
        <v/>
      </c>
      <c r="AG40">
        <f>ABS(S40)*$D$2</f>
        <v/>
      </c>
      <c r="AH40">
        <f>AF40-AG40</f>
        <v/>
      </c>
      <c r="AI40">
        <f>L40+S40</f>
        <v/>
      </c>
      <c r="AJ40">
        <f>AE40</f>
        <v/>
      </c>
      <c r="AK40">
        <f>N40+AH40</f>
        <v/>
      </c>
      <c r="AL40">
        <f>AI40*(F40-AJ40)*$H$2</f>
        <v/>
      </c>
      <c r="AM40">
        <f>AK40+AL40</f>
        <v/>
      </c>
      <c r="AN40">
        <f>MAX(AN39,AM40)</f>
        <v/>
      </c>
      <c r="AO40">
        <f>(AN40-AM40)/AN40*100</f>
        <v/>
      </c>
    </row>
    <row r="41">
      <c r="A41" t="n">
        <v>36</v>
      </c>
      <c r="B41" s="4" t="n">
        <v>45887.30208333334</v>
      </c>
      <c r="C41" t="n">
        <v>6576.75</v>
      </c>
      <c r="D41" t="n">
        <v>6578.5</v>
      </c>
      <c r="E41" t="n">
        <v>6576.25</v>
      </c>
      <c r="F41" t="n">
        <v>6578.5</v>
      </c>
      <c r="G41" t="n">
        <v>2021</v>
      </c>
      <c r="H41">
        <f>F41-C41</f>
        <v/>
      </c>
      <c r="I41">
        <f>AVERAGE(H34:H38)</f>
        <v/>
      </c>
      <c r="J41">
        <f>I41+$F$1</f>
        <v/>
      </c>
      <c r="K41">
        <f>MIN(MAX(J41,-$H$1),$H$1)</f>
        <v/>
      </c>
      <c r="L41">
        <f>AI40</f>
        <v/>
      </c>
      <c r="M41">
        <f>AJ40</f>
        <v/>
      </c>
      <c r="N41">
        <f>AK40</f>
        <v/>
      </c>
      <c r="O41">
        <f>N41+L41*(F41-M41)*$H$2</f>
        <v/>
      </c>
      <c r="P41">
        <f>K41*O41</f>
        <v/>
      </c>
      <c r="Q41">
        <f>F41*$H$2</f>
        <v/>
      </c>
      <c r="R41">
        <f>INT(P41/Q41)</f>
        <v/>
      </c>
      <c r="S41">
        <f>R41-L41</f>
        <v/>
      </c>
      <c r="T41">
        <f>IF(S41&gt;0,"BUY",IF(S41&lt;0,"SELL","HOLD"))</f>
        <v/>
      </c>
      <c r="U41">
        <f>IF(S41=0,0,F41+IF(S41&gt;0,$F$2,-$F$2))</f>
        <v/>
      </c>
      <c r="V41">
        <f>AND(L41=0,S41&lt;&gt;0)</f>
        <v/>
      </c>
      <c r="W41">
        <f>AND(S41&lt;&gt;0,SIGN(L41+S41)=SIGN(L41),ABS(L41+S41)&gt;ABS(L41),L41&lt;&gt;0)</f>
        <v/>
      </c>
      <c r="X41">
        <f>AND(S41&lt;&gt;0,SIGN(L41+S41)=SIGN(L41),ABS(L41+S41)&lt;ABS(L41))</f>
        <v/>
      </c>
      <c r="Y41">
        <f>AND(S41&lt;&gt;0,L41+S41=0)</f>
        <v/>
      </c>
      <c r="Z41">
        <f>AND(S41&lt;&gt;0,SIGN(L41+S41)&lt;&gt;SIGN(L41),L41+S41&lt;&gt;0,L41&lt;&gt;0)</f>
        <v/>
      </c>
      <c r="AA41">
        <f>IF(OR(X41,Y41),ABS(S41),IF(Z41,ABS(L41),0))</f>
        <v/>
      </c>
      <c r="AB41">
        <f>AA41*(U41-M41)*$H$2*IF(L41&lt;0,-1,1)</f>
        <v/>
      </c>
      <c r="AC41">
        <f>IF(W41,ABS(L41)*M41+ABS(S41)*U41,0)</f>
        <v/>
      </c>
      <c r="AD41">
        <f>IF(W41,ABS(L41+S41),0)</f>
        <v/>
      </c>
      <c r="AE41">
        <f>IF(V41,U41,IF(W41,AC41/AD41,IF(OR(X41,Y41),IF(Y41,0,M41),IF(Z41,U41,M41))))</f>
        <v/>
      </c>
      <c r="AF41">
        <f>AB41</f>
        <v/>
      </c>
      <c r="AG41">
        <f>ABS(S41)*$D$2</f>
        <v/>
      </c>
      <c r="AH41">
        <f>AF41-AG41</f>
        <v/>
      </c>
      <c r="AI41">
        <f>L41+S41</f>
        <v/>
      </c>
      <c r="AJ41">
        <f>AE41</f>
        <v/>
      </c>
      <c r="AK41">
        <f>N41+AH41</f>
        <v/>
      </c>
      <c r="AL41">
        <f>AI41*(F41-AJ41)*$H$2</f>
        <v/>
      </c>
      <c r="AM41">
        <f>AK41+AL41</f>
        <v/>
      </c>
      <c r="AN41">
        <f>MAX(AN40,AM41)</f>
        <v/>
      </c>
      <c r="AO41">
        <f>(AN41-AM41)/AN41*100</f>
        <v/>
      </c>
    </row>
    <row r="42">
      <c r="A42" t="n">
        <v>37</v>
      </c>
      <c r="B42" s="4" t="n">
        <v>45888.30208333334</v>
      </c>
      <c r="C42" t="n">
        <v>6578.25</v>
      </c>
      <c r="D42" t="n">
        <v>6581.25</v>
      </c>
      <c r="E42" t="n">
        <v>6577.25</v>
      </c>
      <c r="F42" t="n">
        <v>6580.25</v>
      </c>
      <c r="G42" t="n">
        <v>3080</v>
      </c>
      <c r="H42">
        <f>F42-C42</f>
        <v/>
      </c>
      <c r="I42">
        <f>AVERAGE(H35:H39)</f>
        <v/>
      </c>
      <c r="J42">
        <f>I42+$F$1</f>
        <v/>
      </c>
      <c r="K42">
        <f>MIN(MAX(J42,-$H$1),$H$1)</f>
        <v/>
      </c>
      <c r="L42">
        <f>AI41</f>
        <v/>
      </c>
      <c r="M42">
        <f>AJ41</f>
        <v/>
      </c>
      <c r="N42">
        <f>AK41</f>
        <v/>
      </c>
      <c r="O42">
        <f>N42+L42*(F42-M42)*$H$2</f>
        <v/>
      </c>
      <c r="P42">
        <f>K42*O42</f>
        <v/>
      </c>
      <c r="Q42">
        <f>F42*$H$2</f>
        <v/>
      </c>
      <c r="R42">
        <f>INT(P42/Q42)</f>
        <v/>
      </c>
      <c r="S42">
        <f>R42-L42</f>
        <v/>
      </c>
      <c r="T42">
        <f>IF(S42&gt;0,"BUY",IF(S42&lt;0,"SELL","HOLD"))</f>
        <v/>
      </c>
      <c r="U42">
        <f>IF(S42=0,0,F42+IF(S42&gt;0,$F$2,-$F$2))</f>
        <v/>
      </c>
      <c r="V42">
        <f>AND(L42=0,S42&lt;&gt;0)</f>
        <v/>
      </c>
      <c r="W42">
        <f>AND(S42&lt;&gt;0,SIGN(L42+S42)=SIGN(L42),ABS(L42+S42)&gt;ABS(L42),L42&lt;&gt;0)</f>
        <v/>
      </c>
      <c r="X42">
        <f>AND(S42&lt;&gt;0,SIGN(L42+S42)=SIGN(L42),ABS(L42+S42)&lt;ABS(L42))</f>
        <v/>
      </c>
      <c r="Y42">
        <f>AND(S42&lt;&gt;0,L42+S42=0)</f>
        <v/>
      </c>
      <c r="Z42">
        <f>AND(S42&lt;&gt;0,SIGN(L42+S42)&lt;&gt;SIGN(L42),L42+S42&lt;&gt;0,L42&lt;&gt;0)</f>
        <v/>
      </c>
      <c r="AA42">
        <f>IF(OR(X42,Y42),ABS(S42),IF(Z42,ABS(L42),0))</f>
        <v/>
      </c>
      <c r="AB42">
        <f>AA42*(U42-M42)*$H$2*IF(L42&lt;0,-1,1)</f>
        <v/>
      </c>
      <c r="AC42">
        <f>IF(W42,ABS(L42)*M42+ABS(S42)*U42,0)</f>
        <v/>
      </c>
      <c r="AD42">
        <f>IF(W42,ABS(L42+S42),0)</f>
        <v/>
      </c>
      <c r="AE42">
        <f>IF(V42,U42,IF(W42,AC42/AD42,IF(OR(X42,Y42),IF(Y42,0,M42),IF(Z42,U42,M42))))</f>
        <v/>
      </c>
      <c r="AF42">
        <f>AB42</f>
        <v/>
      </c>
      <c r="AG42">
        <f>ABS(S42)*$D$2</f>
        <v/>
      </c>
      <c r="AH42">
        <f>AF42-AG42</f>
        <v/>
      </c>
      <c r="AI42">
        <f>L42+S42</f>
        <v/>
      </c>
      <c r="AJ42">
        <f>AE42</f>
        <v/>
      </c>
      <c r="AK42">
        <f>N42+AH42</f>
        <v/>
      </c>
      <c r="AL42">
        <f>AI42*(F42-AJ42)*$H$2</f>
        <v/>
      </c>
      <c r="AM42">
        <f>AK42+AL42</f>
        <v/>
      </c>
      <c r="AN42">
        <f>MAX(AN41,AM42)</f>
        <v/>
      </c>
      <c r="AO42">
        <f>(AN42-AM42)/AN42*100</f>
        <v/>
      </c>
    </row>
    <row r="43">
      <c r="A43" t="n">
        <v>38</v>
      </c>
      <c r="B43" s="4" t="n">
        <v>45889.30208333334</v>
      </c>
      <c r="C43" t="n">
        <v>6538</v>
      </c>
      <c r="D43" t="n">
        <v>6539.75</v>
      </c>
      <c r="E43" t="n">
        <v>6536.25</v>
      </c>
      <c r="F43" t="n">
        <v>6537</v>
      </c>
      <c r="G43" t="n">
        <v>3517</v>
      </c>
      <c r="H43">
        <f>F43-C43</f>
        <v/>
      </c>
      <c r="I43">
        <f>AVERAGE(H36:H40)</f>
        <v/>
      </c>
      <c r="J43">
        <f>I43+$F$1</f>
        <v/>
      </c>
      <c r="K43">
        <f>MIN(MAX(J43,-$H$1),$H$1)</f>
        <v/>
      </c>
      <c r="L43">
        <f>AI42</f>
        <v/>
      </c>
      <c r="M43">
        <f>AJ42</f>
        <v/>
      </c>
      <c r="N43">
        <f>AK42</f>
        <v/>
      </c>
      <c r="O43">
        <f>N43+L43*(F43-M43)*$H$2</f>
        <v/>
      </c>
      <c r="P43">
        <f>K43*O43</f>
        <v/>
      </c>
      <c r="Q43">
        <f>F43*$H$2</f>
        <v/>
      </c>
      <c r="R43">
        <f>INT(P43/Q43)</f>
        <v/>
      </c>
      <c r="S43">
        <f>R43-L43</f>
        <v/>
      </c>
      <c r="T43">
        <f>IF(S43&gt;0,"BUY",IF(S43&lt;0,"SELL","HOLD"))</f>
        <v/>
      </c>
      <c r="U43">
        <f>IF(S43=0,0,F43+IF(S43&gt;0,$F$2,-$F$2))</f>
        <v/>
      </c>
      <c r="V43">
        <f>AND(L43=0,S43&lt;&gt;0)</f>
        <v/>
      </c>
      <c r="W43">
        <f>AND(S43&lt;&gt;0,SIGN(L43+S43)=SIGN(L43),ABS(L43+S43)&gt;ABS(L43),L43&lt;&gt;0)</f>
        <v/>
      </c>
      <c r="X43">
        <f>AND(S43&lt;&gt;0,SIGN(L43+S43)=SIGN(L43),ABS(L43+S43)&lt;ABS(L43))</f>
        <v/>
      </c>
      <c r="Y43">
        <f>AND(S43&lt;&gt;0,L43+S43=0)</f>
        <v/>
      </c>
      <c r="Z43">
        <f>AND(S43&lt;&gt;0,SIGN(L43+S43)&lt;&gt;SIGN(L43),L43+S43&lt;&gt;0,L43&lt;&gt;0)</f>
        <v/>
      </c>
      <c r="AA43">
        <f>IF(OR(X43,Y43),ABS(S43),IF(Z43,ABS(L43),0))</f>
        <v/>
      </c>
      <c r="AB43">
        <f>AA43*(U43-M43)*$H$2*IF(L43&lt;0,-1,1)</f>
        <v/>
      </c>
      <c r="AC43">
        <f>IF(W43,ABS(L43)*M43+ABS(S43)*U43,0)</f>
        <v/>
      </c>
      <c r="AD43">
        <f>IF(W43,ABS(L43+S43),0)</f>
        <v/>
      </c>
      <c r="AE43">
        <f>IF(V43,U43,IF(W43,AC43/AD43,IF(OR(X43,Y43),IF(Y43,0,M43),IF(Z43,U43,M43))))</f>
        <v/>
      </c>
      <c r="AF43">
        <f>AB43</f>
        <v/>
      </c>
      <c r="AG43">
        <f>ABS(S43)*$D$2</f>
        <v/>
      </c>
      <c r="AH43">
        <f>AF43-AG43</f>
        <v/>
      </c>
      <c r="AI43">
        <f>L43+S43</f>
        <v/>
      </c>
      <c r="AJ43">
        <f>AE43</f>
        <v/>
      </c>
      <c r="AK43">
        <f>N43+AH43</f>
        <v/>
      </c>
      <c r="AL43">
        <f>AI43*(F43-AJ43)*$H$2</f>
        <v/>
      </c>
      <c r="AM43">
        <f>AK43+AL43</f>
        <v/>
      </c>
      <c r="AN43">
        <f>MAX(AN42,AM43)</f>
        <v/>
      </c>
      <c r="AO43">
        <f>(AN43-AM43)/AN43*100</f>
        <v/>
      </c>
    </row>
    <row r="44">
      <c r="A44" t="n">
        <v>39</v>
      </c>
      <c r="B44" s="4" t="n">
        <v>45890.30208333334</v>
      </c>
      <c r="C44" t="n">
        <v>6502.25</v>
      </c>
      <c r="D44" t="n">
        <v>6503.5</v>
      </c>
      <c r="E44" t="n">
        <v>6497</v>
      </c>
      <c r="F44" t="n">
        <v>6500.75</v>
      </c>
      <c r="G44" t="n">
        <v>7210</v>
      </c>
      <c r="H44">
        <f>F44-C44</f>
        <v/>
      </c>
      <c r="I44">
        <f>AVERAGE(H37:H41)</f>
        <v/>
      </c>
      <c r="J44">
        <f>I44+$F$1</f>
        <v/>
      </c>
      <c r="K44">
        <f>MIN(MAX(J44,-$H$1),$H$1)</f>
        <v/>
      </c>
      <c r="L44">
        <f>AI43</f>
        <v/>
      </c>
      <c r="M44">
        <f>AJ43</f>
        <v/>
      </c>
      <c r="N44">
        <f>AK43</f>
        <v/>
      </c>
      <c r="O44">
        <f>N44+L44*(F44-M44)*$H$2</f>
        <v/>
      </c>
      <c r="P44">
        <f>K44*O44</f>
        <v/>
      </c>
      <c r="Q44">
        <f>F44*$H$2</f>
        <v/>
      </c>
      <c r="R44">
        <f>INT(P44/Q44)</f>
        <v/>
      </c>
      <c r="S44">
        <f>R44-L44</f>
        <v/>
      </c>
      <c r="T44">
        <f>IF(S44&gt;0,"BUY",IF(S44&lt;0,"SELL","HOLD"))</f>
        <v/>
      </c>
      <c r="U44">
        <f>IF(S44=0,0,F44+IF(S44&gt;0,$F$2,-$F$2))</f>
        <v/>
      </c>
      <c r="V44">
        <f>AND(L44=0,S44&lt;&gt;0)</f>
        <v/>
      </c>
      <c r="W44">
        <f>AND(S44&lt;&gt;0,SIGN(L44+S44)=SIGN(L44),ABS(L44+S44)&gt;ABS(L44),L44&lt;&gt;0)</f>
        <v/>
      </c>
      <c r="X44">
        <f>AND(S44&lt;&gt;0,SIGN(L44+S44)=SIGN(L44),ABS(L44+S44)&lt;ABS(L44))</f>
        <v/>
      </c>
      <c r="Y44">
        <f>AND(S44&lt;&gt;0,L44+S44=0)</f>
        <v/>
      </c>
      <c r="Z44">
        <f>AND(S44&lt;&gt;0,SIGN(L44+S44)&lt;&gt;SIGN(L44),L44+S44&lt;&gt;0,L44&lt;&gt;0)</f>
        <v/>
      </c>
      <c r="AA44">
        <f>IF(OR(X44,Y44),ABS(S44),IF(Z44,ABS(L44),0))</f>
        <v/>
      </c>
      <c r="AB44">
        <f>AA44*(U44-M44)*$H$2*IF(L44&lt;0,-1,1)</f>
        <v/>
      </c>
      <c r="AC44">
        <f>IF(W44,ABS(L44)*M44+ABS(S44)*U44,0)</f>
        <v/>
      </c>
      <c r="AD44">
        <f>IF(W44,ABS(L44+S44),0)</f>
        <v/>
      </c>
      <c r="AE44">
        <f>IF(V44,U44,IF(W44,AC44/AD44,IF(OR(X44,Y44),IF(Y44,0,M44),IF(Z44,U44,M44))))</f>
        <v/>
      </c>
      <c r="AF44">
        <f>AB44</f>
        <v/>
      </c>
      <c r="AG44">
        <f>ABS(S44)*$D$2</f>
        <v/>
      </c>
      <c r="AH44">
        <f>AF44-AG44</f>
        <v/>
      </c>
      <c r="AI44">
        <f>L44+S44</f>
        <v/>
      </c>
      <c r="AJ44">
        <f>AE44</f>
        <v/>
      </c>
      <c r="AK44">
        <f>N44+AH44</f>
        <v/>
      </c>
      <c r="AL44">
        <f>AI44*(F44-AJ44)*$H$2</f>
        <v/>
      </c>
      <c r="AM44">
        <f>AK44+AL44</f>
        <v/>
      </c>
      <c r="AN44">
        <f>MAX(AN43,AM44)</f>
        <v/>
      </c>
      <c r="AO44">
        <f>(AN44-AM44)/AN44*100</f>
        <v/>
      </c>
    </row>
    <row r="45">
      <c r="A45" t="n">
        <v>40</v>
      </c>
      <c r="B45" s="4" t="n">
        <v>45891.30208333334</v>
      </c>
      <c r="C45" t="n">
        <v>6512.5</v>
      </c>
      <c r="D45" t="n">
        <v>6517.5</v>
      </c>
      <c r="E45" t="n">
        <v>6512</v>
      </c>
      <c r="F45" t="n">
        <v>6517</v>
      </c>
      <c r="G45" t="n">
        <v>3524</v>
      </c>
      <c r="H45">
        <f>F45-C45</f>
        <v/>
      </c>
      <c r="I45">
        <f>AVERAGE(H38:H42)</f>
        <v/>
      </c>
      <c r="J45">
        <f>I45+$F$1</f>
        <v/>
      </c>
      <c r="K45">
        <f>MIN(MAX(J45,-$H$1),$H$1)</f>
        <v/>
      </c>
      <c r="L45">
        <f>AI44</f>
        <v/>
      </c>
      <c r="M45">
        <f>AJ44</f>
        <v/>
      </c>
      <c r="N45">
        <f>AK44</f>
        <v/>
      </c>
      <c r="O45">
        <f>N45+L45*(F45-M45)*$H$2</f>
        <v/>
      </c>
      <c r="P45">
        <f>K45*O45</f>
        <v/>
      </c>
      <c r="Q45">
        <f>F45*$H$2</f>
        <v/>
      </c>
      <c r="R45">
        <f>INT(P45/Q45)</f>
        <v/>
      </c>
      <c r="S45">
        <f>R45-L45</f>
        <v/>
      </c>
      <c r="T45">
        <f>IF(S45&gt;0,"BUY",IF(S45&lt;0,"SELL","HOLD"))</f>
        <v/>
      </c>
      <c r="U45">
        <f>IF(S45=0,0,F45+IF(S45&gt;0,$F$2,-$F$2))</f>
        <v/>
      </c>
      <c r="V45">
        <f>AND(L45=0,S45&lt;&gt;0)</f>
        <v/>
      </c>
      <c r="W45">
        <f>AND(S45&lt;&gt;0,SIGN(L45+S45)=SIGN(L45),ABS(L45+S45)&gt;ABS(L45),L45&lt;&gt;0)</f>
        <v/>
      </c>
      <c r="X45">
        <f>AND(S45&lt;&gt;0,SIGN(L45+S45)=SIGN(L45),ABS(L45+S45)&lt;ABS(L45))</f>
        <v/>
      </c>
      <c r="Y45">
        <f>AND(S45&lt;&gt;0,L45+S45=0)</f>
        <v/>
      </c>
      <c r="Z45">
        <f>AND(S45&lt;&gt;0,SIGN(L45+S45)&lt;&gt;SIGN(L45),L45+S45&lt;&gt;0,L45&lt;&gt;0)</f>
        <v/>
      </c>
      <c r="AA45">
        <f>IF(OR(X45,Y45),ABS(S45),IF(Z45,ABS(L45),0))</f>
        <v/>
      </c>
      <c r="AB45">
        <f>AA45*(U45-M45)*$H$2*IF(L45&lt;0,-1,1)</f>
        <v/>
      </c>
      <c r="AC45">
        <f>IF(W45,ABS(L45)*M45+ABS(S45)*U45,0)</f>
        <v/>
      </c>
      <c r="AD45">
        <f>IF(W45,ABS(L45+S45),0)</f>
        <v/>
      </c>
      <c r="AE45">
        <f>IF(V45,U45,IF(W45,AC45/AD45,IF(OR(X45,Y45),IF(Y45,0,M45),IF(Z45,U45,M45))))</f>
        <v/>
      </c>
      <c r="AF45">
        <f>AB45</f>
        <v/>
      </c>
      <c r="AG45">
        <f>ABS(S45)*$D$2</f>
        <v/>
      </c>
      <c r="AH45">
        <f>AF45-AG45</f>
        <v/>
      </c>
      <c r="AI45">
        <f>L45+S45</f>
        <v/>
      </c>
      <c r="AJ45">
        <f>AE45</f>
        <v/>
      </c>
      <c r="AK45">
        <f>N45+AH45</f>
        <v/>
      </c>
      <c r="AL45">
        <f>AI45*(F45-AJ45)*$H$2</f>
        <v/>
      </c>
      <c r="AM45">
        <f>AK45+AL45</f>
        <v/>
      </c>
      <c r="AN45">
        <f>MAX(AN44,AM45)</f>
        <v/>
      </c>
      <c r="AO45">
        <f>(AN45-AM45)/AN45*100</f>
        <v/>
      </c>
    </row>
    <row r="46">
      <c r="A46" t="n">
        <v>41</v>
      </c>
      <c r="B46" s="4" t="n">
        <v>45894.30208333334</v>
      </c>
      <c r="C46" t="n">
        <v>6576</v>
      </c>
      <c r="D46" t="n">
        <v>6577.25</v>
      </c>
      <c r="E46" t="n">
        <v>6574.75</v>
      </c>
      <c r="F46" t="n">
        <v>6575.25</v>
      </c>
      <c r="G46" t="n">
        <v>3569</v>
      </c>
      <c r="H46">
        <f>F46-C46</f>
        <v/>
      </c>
      <c r="I46">
        <f>AVERAGE(H39:H43)</f>
        <v/>
      </c>
      <c r="J46">
        <f>I46+$F$1</f>
        <v/>
      </c>
      <c r="K46">
        <f>MIN(MAX(J46,-$H$1),$H$1)</f>
        <v/>
      </c>
      <c r="L46">
        <f>AI45</f>
        <v/>
      </c>
      <c r="M46">
        <f>AJ45</f>
        <v/>
      </c>
      <c r="N46">
        <f>AK45</f>
        <v/>
      </c>
      <c r="O46">
        <f>N46+L46*(F46-M46)*$H$2</f>
        <v/>
      </c>
      <c r="P46">
        <f>K46*O46</f>
        <v/>
      </c>
      <c r="Q46">
        <f>F46*$H$2</f>
        <v/>
      </c>
      <c r="R46">
        <f>INT(P46/Q46)</f>
        <v/>
      </c>
      <c r="S46">
        <f>R46-L46</f>
        <v/>
      </c>
      <c r="T46">
        <f>IF(S46&gt;0,"BUY",IF(S46&lt;0,"SELL","HOLD"))</f>
        <v/>
      </c>
      <c r="U46">
        <f>IF(S46=0,0,F46+IF(S46&gt;0,$F$2,-$F$2))</f>
        <v/>
      </c>
      <c r="V46">
        <f>AND(L46=0,S46&lt;&gt;0)</f>
        <v/>
      </c>
      <c r="W46">
        <f>AND(S46&lt;&gt;0,SIGN(L46+S46)=SIGN(L46),ABS(L46+S46)&gt;ABS(L46),L46&lt;&gt;0)</f>
        <v/>
      </c>
      <c r="X46">
        <f>AND(S46&lt;&gt;0,SIGN(L46+S46)=SIGN(L46),ABS(L46+S46)&lt;ABS(L46))</f>
        <v/>
      </c>
      <c r="Y46">
        <f>AND(S46&lt;&gt;0,L46+S46=0)</f>
        <v/>
      </c>
      <c r="Z46">
        <f>AND(S46&lt;&gt;0,SIGN(L46+S46)&lt;&gt;SIGN(L46),L46+S46&lt;&gt;0,L46&lt;&gt;0)</f>
        <v/>
      </c>
      <c r="AA46">
        <f>IF(OR(X46,Y46),ABS(S46),IF(Z46,ABS(L46),0))</f>
        <v/>
      </c>
      <c r="AB46">
        <f>AA46*(U46-M46)*$H$2*IF(L46&lt;0,-1,1)</f>
        <v/>
      </c>
      <c r="AC46">
        <f>IF(W46,ABS(L46)*M46+ABS(S46)*U46,0)</f>
        <v/>
      </c>
      <c r="AD46">
        <f>IF(W46,ABS(L46+S46),0)</f>
        <v/>
      </c>
      <c r="AE46">
        <f>IF(V46,U46,IF(W46,AC46/AD46,IF(OR(X46,Y46),IF(Y46,0,M46),IF(Z46,U46,M46))))</f>
        <v/>
      </c>
      <c r="AF46">
        <f>AB46</f>
        <v/>
      </c>
      <c r="AG46">
        <f>ABS(S46)*$D$2</f>
        <v/>
      </c>
      <c r="AH46">
        <f>AF46-AG46</f>
        <v/>
      </c>
      <c r="AI46">
        <f>L46+S46</f>
        <v/>
      </c>
      <c r="AJ46">
        <f>AE46</f>
        <v/>
      </c>
      <c r="AK46">
        <f>N46+AH46</f>
        <v/>
      </c>
      <c r="AL46">
        <f>AI46*(F46-AJ46)*$H$2</f>
        <v/>
      </c>
      <c r="AM46">
        <f>AK46+AL46</f>
        <v/>
      </c>
      <c r="AN46">
        <f>MAX(AN45,AM46)</f>
        <v/>
      </c>
      <c r="AO46">
        <f>(AN46-AM46)/AN46*100</f>
        <v/>
      </c>
    </row>
    <row r="47">
      <c r="A47" t="n">
        <v>42</v>
      </c>
      <c r="B47" s="4" t="n">
        <v>45895.30208333334</v>
      </c>
      <c r="C47" t="n">
        <v>6556.75</v>
      </c>
      <c r="D47" t="n">
        <v>6562.5</v>
      </c>
      <c r="E47" t="n">
        <v>6555.25</v>
      </c>
      <c r="F47" t="n">
        <v>6560.5</v>
      </c>
      <c r="G47" t="n">
        <v>4493</v>
      </c>
      <c r="H47">
        <f>F47-C47</f>
        <v/>
      </c>
      <c r="I47">
        <f>AVERAGE(H40:H44)</f>
        <v/>
      </c>
      <c r="J47">
        <f>I47+$F$1</f>
        <v/>
      </c>
      <c r="K47">
        <f>MIN(MAX(J47,-$H$1),$H$1)</f>
        <v/>
      </c>
      <c r="L47">
        <f>AI46</f>
        <v/>
      </c>
      <c r="M47">
        <f>AJ46</f>
        <v/>
      </c>
      <c r="N47">
        <f>AK46</f>
        <v/>
      </c>
      <c r="O47">
        <f>N47+L47*(F47-M47)*$H$2</f>
        <v/>
      </c>
      <c r="P47">
        <f>K47*O47</f>
        <v/>
      </c>
      <c r="Q47">
        <f>F47*$H$2</f>
        <v/>
      </c>
      <c r="R47">
        <f>INT(P47/Q47)</f>
        <v/>
      </c>
      <c r="S47">
        <f>R47-L47</f>
        <v/>
      </c>
      <c r="T47">
        <f>IF(S47&gt;0,"BUY",IF(S47&lt;0,"SELL","HOLD"))</f>
        <v/>
      </c>
      <c r="U47">
        <f>IF(S47=0,0,F47+IF(S47&gt;0,$F$2,-$F$2))</f>
        <v/>
      </c>
      <c r="V47">
        <f>AND(L47=0,S47&lt;&gt;0)</f>
        <v/>
      </c>
      <c r="W47">
        <f>AND(S47&lt;&gt;0,SIGN(L47+S47)=SIGN(L47),ABS(L47+S47)&gt;ABS(L47),L47&lt;&gt;0)</f>
        <v/>
      </c>
      <c r="X47">
        <f>AND(S47&lt;&gt;0,SIGN(L47+S47)=SIGN(L47),ABS(L47+S47)&lt;ABS(L47))</f>
        <v/>
      </c>
      <c r="Y47">
        <f>AND(S47&lt;&gt;0,L47+S47=0)</f>
        <v/>
      </c>
      <c r="Z47">
        <f>AND(S47&lt;&gt;0,SIGN(L47+S47)&lt;&gt;SIGN(L47),L47+S47&lt;&gt;0,L47&lt;&gt;0)</f>
        <v/>
      </c>
      <c r="AA47">
        <f>IF(OR(X47,Y47),ABS(S47),IF(Z47,ABS(L47),0))</f>
        <v/>
      </c>
      <c r="AB47">
        <f>AA47*(U47-M47)*$H$2*IF(L47&lt;0,-1,1)</f>
        <v/>
      </c>
      <c r="AC47">
        <f>IF(W47,ABS(L47)*M47+ABS(S47)*U47,0)</f>
        <v/>
      </c>
      <c r="AD47">
        <f>IF(W47,ABS(L47+S47),0)</f>
        <v/>
      </c>
      <c r="AE47">
        <f>IF(V47,U47,IF(W47,AC47/AD47,IF(OR(X47,Y47),IF(Y47,0,M47),IF(Z47,U47,M47))))</f>
        <v/>
      </c>
      <c r="AF47">
        <f>AB47</f>
        <v/>
      </c>
      <c r="AG47">
        <f>ABS(S47)*$D$2</f>
        <v/>
      </c>
      <c r="AH47">
        <f>AF47-AG47</f>
        <v/>
      </c>
      <c r="AI47">
        <f>L47+S47</f>
        <v/>
      </c>
      <c r="AJ47">
        <f>AE47</f>
        <v/>
      </c>
      <c r="AK47">
        <f>N47+AH47</f>
        <v/>
      </c>
      <c r="AL47">
        <f>AI47*(F47-AJ47)*$H$2</f>
        <v/>
      </c>
      <c r="AM47">
        <f>AK47+AL47</f>
        <v/>
      </c>
      <c r="AN47">
        <f>MAX(AN46,AM47)</f>
        <v/>
      </c>
      <c r="AO47">
        <f>(AN47-AM47)/AN47*100</f>
        <v/>
      </c>
    </row>
    <row r="48">
      <c r="A48" t="n">
        <v>43</v>
      </c>
      <c r="B48" s="4" t="n">
        <v>45896.30208333334</v>
      </c>
      <c r="C48" t="n">
        <v>6601</v>
      </c>
      <c r="D48" t="n">
        <v>6601.5</v>
      </c>
      <c r="E48" t="n">
        <v>6597</v>
      </c>
      <c r="F48" t="n">
        <v>6597.5</v>
      </c>
      <c r="G48" t="n">
        <v>2666</v>
      </c>
      <c r="H48">
        <f>F48-C48</f>
        <v/>
      </c>
      <c r="I48">
        <f>AVERAGE(H41:H45)</f>
        <v/>
      </c>
      <c r="J48">
        <f>I48+$F$1</f>
        <v/>
      </c>
      <c r="K48">
        <f>MIN(MAX(J48,-$H$1),$H$1)</f>
        <v/>
      </c>
      <c r="L48">
        <f>AI47</f>
        <v/>
      </c>
      <c r="M48">
        <f>AJ47</f>
        <v/>
      </c>
      <c r="N48">
        <f>AK47</f>
        <v/>
      </c>
      <c r="O48">
        <f>N48+L48*(F48-M48)*$H$2</f>
        <v/>
      </c>
      <c r="P48">
        <f>K48*O48</f>
        <v/>
      </c>
      <c r="Q48">
        <f>F48*$H$2</f>
        <v/>
      </c>
      <c r="R48">
        <f>INT(P48/Q48)</f>
        <v/>
      </c>
      <c r="S48">
        <f>R48-L48</f>
        <v/>
      </c>
      <c r="T48">
        <f>IF(S48&gt;0,"BUY",IF(S48&lt;0,"SELL","HOLD"))</f>
        <v/>
      </c>
      <c r="U48">
        <f>IF(S48=0,0,F48+IF(S48&gt;0,$F$2,-$F$2))</f>
        <v/>
      </c>
      <c r="V48">
        <f>AND(L48=0,S48&lt;&gt;0)</f>
        <v/>
      </c>
      <c r="W48">
        <f>AND(S48&lt;&gt;0,SIGN(L48+S48)=SIGN(L48),ABS(L48+S48)&gt;ABS(L48),L48&lt;&gt;0)</f>
        <v/>
      </c>
      <c r="X48">
        <f>AND(S48&lt;&gt;0,SIGN(L48+S48)=SIGN(L48),ABS(L48+S48)&lt;ABS(L48))</f>
        <v/>
      </c>
      <c r="Y48">
        <f>AND(S48&lt;&gt;0,L48+S48=0)</f>
        <v/>
      </c>
      <c r="Z48">
        <f>AND(S48&lt;&gt;0,SIGN(L48+S48)&lt;&gt;SIGN(L48),L48+S48&lt;&gt;0,L48&lt;&gt;0)</f>
        <v/>
      </c>
      <c r="AA48">
        <f>IF(OR(X48,Y48),ABS(S48),IF(Z48,ABS(L48),0))</f>
        <v/>
      </c>
      <c r="AB48">
        <f>AA48*(U48-M48)*$H$2*IF(L48&lt;0,-1,1)</f>
        <v/>
      </c>
      <c r="AC48">
        <f>IF(W48,ABS(L48)*M48+ABS(S48)*U48,0)</f>
        <v/>
      </c>
      <c r="AD48">
        <f>IF(W48,ABS(L48+S48),0)</f>
        <v/>
      </c>
      <c r="AE48">
        <f>IF(V48,U48,IF(W48,AC48/AD48,IF(OR(X48,Y48),IF(Y48,0,M48),IF(Z48,U48,M48))))</f>
        <v/>
      </c>
      <c r="AF48">
        <f>AB48</f>
        <v/>
      </c>
      <c r="AG48">
        <f>ABS(S48)*$D$2</f>
        <v/>
      </c>
      <c r="AH48">
        <f>AF48-AG48</f>
        <v/>
      </c>
      <c r="AI48">
        <f>L48+S48</f>
        <v/>
      </c>
      <c r="AJ48">
        <f>AE48</f>
        <v/>
      </c>
      <c r="AK48">
        <f>N48+AH48</f>
        <v/>
      </c>
      <c r="AL48">
        <f>AI48*(F48-AJ48)*$H$2</f>
        <v/>
      </c>
      <c r="AM48">
        <f>AK48+AL48</f>
        <v/>
      </c>
      <c r="AN48">
        <f>MAX(AN47,AM48)</f>
        <v/>
      </c>
      <c r="AO48">
        <f>(AN48-AM48)/AN48*100</f>
        <v/>
      </c>
    </row>
    <row r="49">
      <c r="A49" t="n">
        <v>44</v>
      </c>
      <c r="B49" s="4" t="n">
        <v>45897.30208333334</v>
      </c>
      <c r="C49" t="n">
        <v>6608.5</v>
      </c>
      <c r="D49" t="n">
        <v>6608.5</v>
      </c>
      <c r="E49" t="n">
        <v>6605.25</v>
      </c>
      <c r="F49" t="n">
        <v>6606.25</v>
      </c>
      <c r="G49" t="n">
        <v>3230</v>
      </c>
      <c r="H49">
        <f>F49-C49</f>
        <v/>
      </c>
      <c r="I49">
        <f>AVERAGE(H42:H46)</f>
        <v/>
      </c>
      <c r="J49">
        <f>I49+$F$1</f>
        <v/>
      </c>
      <c r="K49">
        <f>MIN(MAX(J49,-$H$1),$H$1)</f>
        <v/>
      </c>
      <c r="L49">
        <f>AI48</f>
        <v/>
      </c>
      <c r="M49">
        <f>AJ48</f>
        <v/>
      </c>
      <c r="N49">
        <f>AK48</f>
        <v/>
      </c>
      <c r="O49">
        <f>N49+L49*(F49-M49)*$H$2</f>
        <v/>
      </c>
      <c r="P49">
        <f>K49*O49</f>
        <v/>
      </c>
      <c r="Q49">
        <f>F49*$H$2</f>
        <v/>
      </c>
      <c r="R49">
        <f>INT(P49/Q49)</f>
        <v/>
      </c>
      <c r="S49">
        <f>R49-L49</f>
        <v/>
      </c>
      <c r="T49">
        <f>IF(S49&gt;0,"BUY",IF(S49&lt;0,"SELL","HOLD"))</f>
        <v/>
      </c>
      <c r="U49">
        <f>IF(S49=0,0,F49+IF(S49&gt;0,$F$2,-$F$2))</f>
        <v/>
      </c>
      <c r="V49">
        <f>AND(L49=0,S49&lt;&gt;0)</f>
        <v/>
      </c>
      <c r="W49">
        <f>AND(S49&lt;&gt;0,SIGN(L49+S49)=SIGN(L49),ABS(L49+S49)&gt;ABS(L49),L49&lt;&gt;0)</f>
        <v/>
      </c>
      <c r="X49">
        <f>AND(S49&lt;&gt;0,SIGN(L49+S49)=SIGN(L49),ABS(L49+S49)&lt;ABS(L49))</f>
        <v/>
      </c>
      <c r="Y49">
        <f>AND(S49&lt;&gt;0,L49+S49=0)</f>
        <v/>
      </c>
      <c r="Z49">
        <f>AND(S49&lt;&gt;0,SIGN(L49+S49)&lt;&gt;SIGN(L49),L49+S49&lt;&gt;0,L49&lt;&gt;0)</f>
        <v/>
      </c>
      <c r="AA49">
        <f>IF(OR(X49,Y49),ABS(S49),IF(Z49,ABS(L49),0))</f>
        <v/>
      </c>
      <c r="AB49">
        <f>AA49*(U49-M49)*$H$2*IF(L49&lt;0,-1,1)</f>
        <v/>
      </c>
      <c r="AC49">
        <f>IF(W49,ABS(L49)*M49+ABS(S49)*U49,0)</f>
        <v/>
      </c>
      <c r="AD49">
        <f>IF(W49,ABS(L49+S49),0)</f>
        <v/>
      </c>
      <c r="AE49">
        <f>IF(V49,U49,IF(W49,AC49/AD49,IF(OR(X49,Y49),IF(Y49,0,M49),IF(Z49,U49,M49))))</f>
        <v/>
      </c>
      <c r="AF49">
        <f>AB49</f>
        <v/>
      </c>
      <c r="AG49">
        <f>ABS(S49)*$D$2</f>
        <v/>
      </c>
      <c r="AH49">
        <f>AF49-AG49</f>
        <v/>
      </c>
      <c r="AI49">
        <f>L49+S49</f>
        <v/>
      </c>
      <c r="AJ49">
        <f>AE49</f>
        <v/>
      </c>
      <c r="AK49">
        <f>N49+AH49</f>
        <v/>
      </c>
      <c r="AL49">
        <f>AI49*(F49-AJ49)*$H$2</f>
        <v/>
      </c>
      <c r="AM49">
        <f>AK49+AL49</f>
        <v/>
      </c>
      <c r="AN49">
        <f>MAX(AN48,AM49)</f>
        <v/>
      </c>
      <c r="AO49">
        <f>(AN49-AM49)/AN49*100</f>
        <v/>
      </c>
    </row>
    <row r="50">
      <c r="A50" t="n">
        <v>45</v>
      </c>
      <c r="B50" s="4" t="n">
        <v>45898.30208333334</v>
      </c>
      <c r="C50" t="n">
        <v>6608.25</v>
      </c>
      <c r="D50" t="n">
        <v>6609.5</v>
      </c>
      <c r="E50" t="n">
        <v>6607.25</v>
      </c>
      <c r="F50" t="n">
        <v>6607.5</v>
      </c>
      <c r="G50" t="n">
        <v>5149</v>
      </c>
      <c r="H50">
        <f>F50-C50</f>
        <v/>
      </c>
      <c r="I50">
        <f>AVERAGE(H43:H47)</f>
        <v/>
      </c>
      <c r="J50">
        <f>I50+$F$1</f>
        <v/>
      </c>
      <c r="K50">
        <f>MIN(MAX(J50,-$H$1),$H$1)</f>
        <v/>
      </c>
      <c r="L50">
        <f>AI49</f>
        <v/>
      </c>
      <c r="M50">
        <f>AJ49</f>
        <v/>
      </c>
      <c r="N50">
        <f>AK49</f>
        <v/>
      </c>
      <c r="O50">
        <f>N50+L50*(F50-M50)*$H$2</f>
        <v/>
      </c>
      <c r="P50">
        <f>K50*O50</f>
        <v/>
      </c>
      <c r="Q50">
        <f>F50*$H$2</f>
        <v/>
      </c>
      <c r="R50">
        <f>INT(P50/Q50)</f>
        <v/>
      </c>
      <c r="S50">
        <f>R50-L50</f>
        <v/>
      </c>
      <c r="T50">
        <f>IF(S50&gt;0,"BUY",IF(S50&lt;0,"SELL","HOLD"))</f>
        <v/>
      </c>
      <c r="U50">
        <f>IF(S50=0,0,F50+IF(S50&gt;0,$F$2,-$F$2))</f>
        <v/>
      </c>
      <c r="V50">
        <f>AND(L50=0,S50&lt;&gt;0)</f>
        <v/>
      </c>
      <c r="W50">
        <f>AND(S50&lt;&gt;0,SIGN(L50+S50)=SIGN(L50),ABS(L50+S50)&gt;ABS(L50),L50&lt;&gt;0)</f>
        <v/>
      </c>
      <c r="X50">
        <f>AND(S50&lt;&gt;0,SIGN(L50+S50)=SIGN(L50),ABS(L50+S50)&lt;ABS(L50))</f>
        <v/>
      </c>
      <c r="Y50">
        <f>AND(S50&lt;&gt;0,L50+S50=0)</f>
        <v/>
      </c>
      <c r="Z50">
        <f>AND(S50&lt;&gt;0,SIGN(L50+S50)&lt;&gt;SIGN(L50),L50+S50&lt;&gt;0,L50&lt;&gt;0)</f>
        <v/>
      </c>
      <c r="AA50">
        <f>IF(OR(X50,Y50),ABS(S50),IF(Z50,ABS(L50),0))</f>
        <v/>
      </c>
      <c r="AB50">
        <f>AA50*(U50-M50)*$H$2*IF(L50&lt;0,-1,1)</f>
        <v/>
      </c>
      <c r="AC50">
        <f>IF(W50,ABS(L50)*M50+ABS(S50)*U50,0)</f>
        <v/>
      </c>
      <c r="AD50">
        <f>IF(W50,ABS(L50+S50),0)</f>
        <v/>
      </c>
      <c r="AE50">
        <f>IF(V50,U50,IF(W50,AC50/AD50,IF(OR(X50,Y50),IF(Y50,0,M50),IF(Z50,U50,M50))))</f>
        <v/>
      </c>
      <c r="AF50">
        <f>AB50</f>
        <v/>
      </c>
      <c r="AG50">
        <f>ABS(S50)*$D$2</f>
        <v/>
      </c>
      <c r="AH50">
        <f>AF50-AG50</f>
        <v/>
      </c>
      <c r="AI50">
        <f>L50+S50</f>
        <v/>
      </c>
      <c r="AJ50">
        <f>AE50</f>
        <v/>
      </c>
      <c r="AK50">
        <f>N50+AH50</f>
        <v/>
      </c>
      <c r="AL50">
        <f>AI50*(F50-AJ50)*$H$2</f>
        <v/>
      </c>
      <c r="AM50">
        <f>AK50+AL50</f>
        <v/>
      </c>
      <c r="AN50">
        <f>MAX(AN49,AM50)</f>
        <v/>
      </c>
      <c r="AO50">
        <f>(AN50-AM50)/AN50*100</f>
        <v/>
      </c>
    </row>
    <row r="51">
      <c r="A51" t="n">
        <v>46</v>
      </c>
      <c r="B51" s="4" t="n">
        <v>45901.30208333334</v>
      </c>
      <c r="C51" t="n">
        <v>6585.5</v>
      </c>
      <c r="D51" t="n">
        <v>6586.5</v>
      </c>
      <c r="E51" t="n">
        <v>6584.25</v>
      </c>
      <c r="F51" t="n">
        <v>6586</v>
      </c>
      <c r="G51" t="n">
        <v>973</v>
      </c>
      <c r="H51">
        <f>F51-C51</f>
        <v/>
      </c>
      <c r="I51">
        <f>AVERAGE(H44:H48)</f>
        <v/>
      </c>
      <c r="J51">
        <f>I51+$F$1</f>
        <v/>
      </c>
      <c r="K51">
        <f>MIN(MAX(J51,-$H$1),$H$1)</f>
        <v/>
      </c>
      <c r="L51">
        <f>AI50</f>
        <v/>
      </c>
      <c r="M51">
        <f>AJ50</f>
        <v/>
      </c>
      <c r="N51">
        <f>AK50</f>
        <v/>
      </c>
      <c r="O51">
        <f>N51+L51*(F51-M51)*$H$2</f>
        <v/>
      </c>
      <c r="P51">
        <f>K51*O51</f>
        <v/>
      </c>
      <c r="Q51">
        <f>F51*$H$2</f>
        <v/>
      </c>
      <c r="R51">
        <f>INT(P51/Q51)</f>
        <v/>
      </c>
      <c r="S51">
        <f>R51-L51</f>
        <v/>
      </c>
      <c r="T51">
        <f>IF(S51&gt;0,"BUY",IF(S51&lt;0,"SELL","HOLD"))</f>
        <v/>
      </c>
      <c r="U51">
        <f>IF(S51=0,0,F51+IF(S51&gt;0,$F$2,-$F$2))</f>
        <v/>
      </c>
      <c r="V51">
        <f>AND(L51=0,S51&lt;&gt;0)</f>
        <v/>
      </c>
      <c r="W51">
        <f>AND(S51&lt;&gt;0,SIGN(L51+S51)=SIGN(L51),ABS(L51+S51)&gt;ABS(L51),L51&lt;&gt;0)</f>
        <v/>
      </c>
      <c r="X51">
        <f>AND(S51&lt;&gt;0,SIGN(L51+S51)=SIGN(L51),ABS(L51+S51)&lt;ABS(L51))</f>
        <v/>
      </c>
      <c r="Y51">
        <f>AND(S51&lt;&gt;0,L51+S51=0)</f>
        <v/>
      </c>
      <c r="Z51">
        <f>AND(S51&lt;&gt;0,SIGN(L51+S51)&lt;&gt;SIGN(L51),L51+S51&lt;&gt;0,L51&lt;&gt;0)</f>
        <v/>
      </c>
      <c r="AA51">
        <f>IF(OR(X51,Y51),ABS(S51),IF(Z51,ABS(L51),0))</f>
        <v/>
      </c>
      <c r="AB51">
        <f>AA51*(U51-M51)*$H$2*IF(L51&lt;0,-1,1)</f>
        <v/>
      </c>
      <c r="AC51">
        <f>IF(W51,ABS(L51)*M51+ABS(S51)*U51,0)</f>
        <v/>
      </c>
      <c r="AD51">
        <f>IF(W51,ABS(L51+S51),0)</f>
        <v/>
      </c>
      <c r="AE51">
        <f>IF(V51,U51,IF(W51,AC51/AD51,IF(OR(X51,Y51),IF(Y51,0,M51),IF(Z51,U51,M51))))</f>
        <v/>
      </c>
      <c r="AF51">
        <f>AB51</f>
        <v/>
      </c>
      <c r="AG51">
        <f>ABS(S51)*$D$2</f>
        <v/>
      </c>
      <c r="AH51">
        <f>AF51-AG51</f>
        <v/>
      </c>
      <c r="AI51">
        <f>L51+S51</f>
        <v/>
      </c>
      <c r="AJ51">
        <f>AE51</f>
        <v/>
      </c>
      <c r="AK51">
        <f>N51+AH51</f>
        <v/>
      </c>
      <c r="AL51">
        <f>AI51*(F51-AJ51)*$H$2</f>
        <v/>
      </c>
      <c r="AM51">
        <f>AK51+AL51</f>
        <v/>
      </c>
      <c r="AN51">
        <f>MAX(AN50,AM51)</f>
        <v/>
      </c>
      <c r="AO51">
        <f>(AN51-AM51)/AN51*100</f>
        <v/>
      </c>
    </row>
    <row r="52">
      <c r="A52" t="n">
        <v>47</v>
      </c>
      <c r="B52" s="4" t="n">
        <v>45902.30208333334</v>
      </c>
      <c r="C52" t="n">
        <v>6525.5</v>
      </c>
      <c r="D52" t="n">
        <v>6526.75</v>
      </c>
      <c r="E52" t="n">
        <v>6520</v>
      </c>
      <c r="F52" t="n">
        <v>6521.25</v>
      </c>
      <c r="G52" t="n">
        <v>12188</v>
      </c>
      <c r="H52">
        <f>F52-C52</f>
        <v/>
      </c>
      <c r="I52">
        <f>AVERAGE(H45:H49)</f>
        <v/>
      </c>
      <c r="J52">
        <f>I52+$F$1</f>
        <v/>
      </c>
      <c r="K52">
        <f>MIN(MAX(J52,-$H$1),$H$1)</f>
        <v/>
      </c>
      <c r="L52">
        <f>AI51</f>
        <v/>
      </c>
      <c r="M52">
        <f>AJ51</f>
        <v/>
      </c>
      <c r="N52">
        <f>AK51</f>
        <v/>
      </c>
      <c r="O52">
        <f>N52+L52*(F52-M52)*$H$2</f>
        <v/>
      </c>
      <c r="P52">
        <f>K52*O52</f>
        <v/>
      </c>
      <c r="Q52">
        <f>F52*$H$2</f>
        <v/>
      </c>
      <c r="R52">
        <f>INT(P52/Q52)</f>
        <v/>
      </c>
      <c r="S52">
        <f>R52-L52</f>
        <v/>
      </c>
      <c r="T52">
        <f>IF(S52&gt;0,"BUY",IF(S52&lt;0,"SELL","HOLD"))</f>
        <v/>
      </c>
      <c r="U52">
        <f>IF(S52=0,0,F52+IF(S52&gt;0,$F$2,-$F$2))</f>
        <v/>
      </c>
      <c r="V52">
        <f>AND(L52=0,S52&lt;&gt;0)</f>
        <v/>
      </c>
      <c r="W52">
        <f>AND(S52&lt;&gt;0,SIGN(L52+S52)=SIGN(L52),ABS(L52+S52)&gt;ABS(L52),L52&lt;&gt;0)</f>
        <v/>
      </c>
      <c r="X52">
        <f>AND(S52&lt;&gt;0,SIGN(L52+S52)=SIGN(L52),ABS(L52+S52)&lt;ABS(L52))</f>
        <v/>
      </c>
      <c r="Y52">
        <f>AND(S52&lt;&gt;0,L52+S52=0)</f>
        <v/>
      </c>
      <c r="Z52">
        <f>AND(S52&lt;&gt;0,SIGN(L52+S52)&lt;&gt;SIGN(L52),L52+S52&lt;&gt;0,L52&lt;&gt;0)</f>
        <v/>
      </c>
      <c r="AA52">
        <f>IF(OR(X52,Y52),ABS(S52),IF(Z52,ABS(L52),0))</f>
        <v/>
      </c>
      <c r="AB52">
        <f>AA52*(U52-M52)*$H$2*IF(L52&lt;0,-1,1)</f>
        <v/>
      </c>
      <c r="AC52">
        <f>IF(W52,ABS(L52)*M52+ABS(S52)*U52,0)</f>
        <v/>
      </c>
      <c r="AD52">
        <f>IF(W52,ABS(L52+S52),0)</f>
        <v/>
      </c>
      <c r="AE52">
        <f>IF(V52,U52,IF(W52,AC52/AD52,IF(OR(X52,Y52),IF(Y52,0,M52),IF(Z52,U52,M52))))</f>
        <v/>
      </c>
      <c r="AF52">
        <f>AB52</f>
        <v/>
      </c>
      <c r="AG52">
        <f>ABS(S52)*$D$2</f>
        <v/>
      </c>
      <c r="AH52">
        <f>AF52-AG52</f>
        <v/>
      </c>
      <c r="AI52">
        <f>L52+S52</f>
        <v/>
      </c>
      <c r="AJ52">
        <f>AE52</f>
        <v/>
      </c>
      <c r="AK52">
        <f>N52+AH52</f>
        <v/>
      </c>
      <c r="AL52">
        <f>AI52*(F52-AJ52)*$H$2</f>
        <v/>
      </c>
      <c r="AM52">
        <f>AK52+AL52</f>
        <v/>
      </c>
      <c r="AN52">
        <f>MAX(AN51,AM52)</f>
        <v/>
      </c>
      <c r="AO52">
        <f>(AN52-AM52)/AN52*100</f>
        <v/>
      </c>
    </row>
    <row r="53">
      <c r="A53" t="n">
        <v>48</v>
      </c>
      <c r="B53" s="4" t="n">
        <v>45903.30208333334</v>
      </c>
      <c r="C53" t="n">
        <v>6568.25</v>
      </c>
      <c r="D53" t="n">
        <v>6568.5</v>
      </c>
      <c r="E53" t="n">
        <v>6564.5</v>
      </c>
      <c r="F53" t="n">
        <v>6565</v>
      </c>
      <c r="G53" t="n">
        <v>3642</v>
      </c>
      <c r="H53">
        <f>F53-C53</f>
        <v/>
      </c>
      <c r="I53">
        <f>AVERAGE(H46:H50)</f>
        <v/>
      </c>
      <c r="J53">
        <f>I53+$F$1</f>
        <v/>
      </c>
      <c r="K53">
        <f>MIN(MAX(J53,-$H$1),$H$1)</f>
        <v/>
      </c>
      <c r="L53">
        <f>AI52</f>
        <v/>
      </c>
      <c r="M53">
        <f>AJ52</f>
        <v/>
      </c>
      <c r="N53">
        <f>AK52</f>
        <v/>
      </c>
      <c r="O53">
        <f>N53+L53*(F53-M53)*$H$2</f>
        <v/>
      </c>
      <c r="P53">
        <f>K53*O53</f>
        <v/>
      </c>
      <c r="Q53">
        <f>F53*$H$2</f>
        <v/>
      </c>
      <c r="R53">
        <f>INT(P53/Q53)</f>
        <v/>
      </c>
      <c r="S53">
        <f>R53-L53</f>
        <v/>
      </c>
      <c r="T53">
        <f>IF(S53&gt;0,"BUY",IF(S53&lt;0,"SELL","HOLD"))</f>
        <v/>
      </c>
      <c r="U53">
        <f>IF(S53=0,0,F53+IF(S53&gt;0,$F$2,-$F$2))</f>
        <v/>
      </c>
      <c r="V53">
        <f>AND(L53=0,S53&lt;&gt;0)</f>
        <v/>
      </c>
      <c r="W53">
        <f>AND(S53&lt;&gt;0,SIGN(L53+S53)=SIGN(L53),ABS(L53+S53)&gt;ABS(L53),L53&lt;&gt;0)</f>
        <v/>
      </c>
      <c r="X53">
        <f>AND(S53&lt;&gt;0,SIGN(L53+S53)=SIGN(L53),ABS(L53+S53)&lt;ABS(L53))</f>
        <v/>
      </c>
      <c r="Y53">
        <f>AND(S53&lt;&gt;0,L53+S53=0)</f>
        <v/>
      </c>
      <c r="Z53">
        <f>AND(S53&lt;&gt;0,SIGN(L53+S53)&lt;&gt;SIGN(L53),L53+S53&lt;&gt;0,L53&lt;&gt;0)</f>
        <v/>
      </c>
      <c r="AA53">
        <f>IF(OR(X53,Y53),ABS(S53),IF(Z53,ABS(L53),0))</f>
        <v/>
      </c>
      <c r="AB53">
        <f>AA53*(U53-M53)*$H$2*IF(L53&lt;0,-1,1)</f>
        <v/>
      </c>
      <c r="AC53">
        <f>IF(W53,ABS(L53)*M53+ABS(S53)*U53,0)</f>
        <v/>
      </c>
      <c r="AD53">
        <f>IF(W53,ABS(L53+S53),0)</f>
        <v/>
      </c>
      <c r="AE53">
        <f>IF(V53,U53,IF(W53,AC53/AD53,IF(OR(X53,Y53),IF(Y53,0,M53),IF(Z53,U53,M53))))</f>
        <v/>
      </c>
      <c r="AF53">
        <f>AB53</f>
        <v/>
      </c>
      <c r="AG53">
        <f>ABS(S53)*$D$2</f>
        <v/>
      </c>
      <c r="AH53">
        <f>AF53-AG53</f>
        <v/>
      </c>
      <c r="AI53">
        <f>L53+S53</f>
        <v/>
      </c>
      <c r="AJ53">
        <f>AE53</f>
        <v/>
      </c>
      <c r="AK53">
        <f>N53+AH53</f>
        <v/>
      </c>
      <c r="AL53">
        <f>AI53*(F53-AJ53)*$H$2</f>
        <v/>
      </c>
      <c r="AM53">
        <f>AK53+AL53</f>
        <v/>
      </c>
      <c r="AN53">
        <f>MAX(AN52,AM53)</f>
        <v/>
      </c>
      <c r="AO53">
        <f>(AN53-AM53)/AN53*100</f>
        <v/>
      </c>
    </row>
    <row r="54">
      <c r="A54" t="n">
        <v>49</v>
      </c>
      <c r="B54" s="4" t="n">
        <v>45904.30208333334</v>
      </c>
      <c r="C54" t="n">
        <v>6581.5</v>
      </c>
      <c r="D54" t="n">
        <v>6584.5</v>
      </c>
      <c r="E54" t="n">
        <v>6575.75</v>
      </c>
      <c r="F54" t="n">
        <v>6577.75</v>
      </c>
      <c r="G54" t="n">
        <v>5448</v>
      </c>
      <c r="H54">
        <f>F54-C54</f>
        <v/>
      </c>
      <c r="I54">
        <f>AVERAGE(H47:H51)</f>
        <v/>
      </c>
      <c r="J54">
        <f>I54+$F$1</f>
        <v/>
      </c>
      <c r="K54">
        <f>MIN(MAX(J54,-$H$1),$H$1)</f>
        <v/>
      </c>
      <c r="L54">
        <f>AI53</f>
        <v/>
      </c>
      <c r="M54">
        <f>AJ53</f>
        <v/>
      </c>
      <c r="N54">
        <f>AK53</f>
        <v/>
      </c>
      <c r="O54">
        <f>N54+L54*(F54-M54)*$H$2</f>
        <v/>
      </c>
      <c r="P54">
        <f>K54*O54</f>
        <v/>
      </c>
      <c r="Q54">
        <f>F54*$H$2</f>
        <v/>
      </c>
      <c r="R54">
        <f>INT(P54/Q54)</f>
        <v/>
      </c>
      <c r="S54">
        <f>R54-L54</f>
        <v/>
      </c>
      <c r="T54">
        <f>IF(S54&gt;0,"BUY",IF(S54&lt;0,"SELL","HOLD"))</f>
        <v/>
      </c>
      <c r="U54">
        <f>IF(S54=0,0,F54+IF(S54&gt;0,$F$2,-$F$2))</f>
        <v/>
      </c>
      <c r="V54">
        <f>AND(L54=0,S54&lt;&gt;0)</f>
        <v/>
      </c>
      <c r="W54">
        <f>AND(S54&lt;&gt;0,SIGN(L54+S54)=SIGN(L54),ABS(L54+S54)&gt;ABS(L54),L54&lt;&gt;0)</f>
        <v/>
      </c>
      <c r="X54">
        <f>AND(S54&lt;&gt;0,SIGN(L54+S54)=SIGN(L54),ABS(L54+S54)&lt;ABS(L54))</f>
        <v/>
      </c>
      <c r="Y54">
        <f>AND(S54&lt;&gt;0,L54+S54=0)</f>
        <v/>
      </c>
      <c r="Z54">
        <f>AND(S54&lt;&gt;0,SIGN(L54+S54)&lt;&gt;SIGN(L54),L54+S54&lt;&gt;0,L54&lt;&gt;0)</f>
        <v/>
      </c>
      <c r="AA54">
        <f>IF(OR(X54,Y54),ABS(S54),IF(Z54,ABS(L54),0))</f>
        <v/>
      </c>
      <c r="AB54">
        <f>AA54*(U54-M54)*$H$2*IF(L54&lt;0,-1,1)</f>
        <v/>
      </c>
      <c r="AC54">
        <f>IF(W54,ABS(L54)*M54+ABS(S54)*U54,0)</f>
        <v/>
      </c>
      <c r="AD54">
        <f>IF(W54,ABS(L54+S54),0)</f>
        <v/>
      </c>
      <c r="AE54">
        <f>IF(V54,U54,IF(W54,AC54/AD54,IF(OR(X54,Y54),IF(Y54,0,M54),IF(Z54,U54,M54))))</f>
        <v/>
      </c>
      <c r="AF54">
        <f>AB54</f>
        <v/>
      </c>
      <c r="AG54">
        <f>ABS(S54)*$D$2</f>
        <v/>
      </c>
      <c r="AH54">
        <f>AF54-AG54</f>
        <v/>
      </c>
      <c r="AI54">
        <f>L54+S54</f>
        <v/>
      </c>
      <c r="AJ54">
        <f>AE54</f>
        <v/>
      </c>
      <c r="AK54">
        <f>N54+AH54</f>
        <v/>
      </c>
      <c r="AL54">
        <f>AI54*(F54-AJ54)*$H$2</f>
        <v/>
      </c>
      <c r="AM54">
        <f>AK54+AL54</f>
        <v/>
      </c>
      <c r="AN54">
        <f>MAX(AN53,AM54)</f>
        <v/>
      </c>
      <c r="AO54">
        <f>(AN54-AM54)/AN54*100</f>
        <v/>
      </c>
    </row>
    <row r="55">
      <c r="A55" t="n">
        <v>50</v>
      </c>
      <c r="B55" s="4" t="n">
        <v>45905.30208333334</v>
      </c>
      <c r="C55" t="n">
        <v>6632</v>
      </c>
      <c r="D55" t="n">
        <v>6633.75</v>
      </c>
      <c r="E55" t="n">
        <v>6627</v>
      </c>
      <c r="F55" t="n">
        <v>6628.25</v>
      </c>
      <c r="G55" t="n">
        <v>9096</v>
      </c>
      <c r="H55">
        <f>F55-C55</f>
        <v/>
      </c>
      <c r="I55">
        <f>AVERAGE(H48:H52)</f>
        <v/>
      </c>
      <c r="J55">
        <f>I55+$F$1</f>
        <v/>
      </c>
      <c r="K55">
        <f>MIN(MAX(J55,-$H$1),$H$1)</f>
        <v/>
      </c>
      <c r="L55">
        <f>AI54</f>
        <v/>
      </c>
      <c r="M55">
        <f>AJ54</f>
        <v/>
      </c>
      <c r="N55">
        <f>AK54</f>
        <v/>
      </c>
      <c r="O55">
        <f>N55+L55*(F55-M55)*$H$2</f>
        <v/>
      </c>
      <c r="P55">
        <f>K55*O55</f>
        <v/>
      </c>
      <c r="Q55">
        <f>F55*$H$2</f>
        <v/>
      </c>
      <c r="R55">
        <f>INT(P55/Q55)</f>
        <v/>
      </c>
      <c r="S55">
        <f>R55-L55</f>
        <v/>
      </c>
      <c r="T55">
        <f>IF(S55&gt;0,"BUY",IF(S55&lt;0,"SELL","HOLD"))</f>
        <v/>
      </c>
      <c r="U55">
        <f>IF(S55=0,0,F55+IF(S55&gt;0,$F$2,-$F$2))</f>
        <v/>
      </c>
      <c r="V55">
        <f>AND(L55=0,S55&lt;&gt;0)</f>
        <v/>
      </c>
      <c r="W55">
        <f>AND(S55&lt;&gt;0,SIGN(L55+S55)=SIGN(L55),ABS(L55+S55)&gt;ABS(L55),L55&lt;&gt;0)</f>
        <v/>
      </c>
      <c r="X55">
        <f>AND(S55&lt;&gt;0,SIGN(L55+S55)=SIGN(L55),ABS(L55+S55)&lt;ABS(L55))</f>
        <v/>
      </c>
      <c r="Y55">
        <f>AND(S55&lt;&gt;0,L55+S55=0)</f>
        <v/>
      </c>
      <c r="Z55">
        <f>AND(S55&lt;&gt;0,SIGN(L55+S55)&lt;&gt;SIGN(L55),L55+S55&lt;&gt;0,L55&lt;&gt;0)</f>
        <v/>
      </c>
      <c r="AA55">
        <f>IF(OR(X55,Y55),ABS(S55),IF(Z55,ABS(L55),0))</f>
        <v/>
      </c>
      <c r="AB55">
        <f>AA55*(U55-M55)*$H$2*IF(L55&lt;0,-1,1)</f>
        <v/>
      </c>
      <c r="AC55">
        <f>IF(W55,ABS(L55)*M55+ABS(S55)*U55,0)</f>
        <v/>
      </c>
      <c r="AD55">
        <f>IF(W55,ABS(L55+S55),0)</f>
        <v/>
      </c>
      <c r="AE55">
        <f>IF(V55,U55,IF(W55,AC55/AD55,IF(OR(X55,Y55),IF(Y55,0,M55),IF(Z55,U55,M55))))</f>
        <v/>
      </c>
      <c r="AF55">
        <f>AB55</f>
        <v/>
      </c>
      <c r="AG55">
        <f>ABS(S55)*$D$2</f>
        <v/>
      </c>
      <c r="AH55">
        <f>AF55-AG55</f>
        <v/>
      </c>
      <c r="AI55">
        <f>L55+S55</f>
        <v/>
      </c>
      <c r="AJ55">
        <f>AE55</f>
        <v/>
      </c>
      <c r="AK55">
        <f>N55+AH55</f>
        <v/>
      </c>
      <c r="AL55">
        <f>AI55*(F55-AJ55)*$H$2</f>
        <v/>
      </c>
      <c r="AM55">
        <f>AK55+AL55</f>
        <v/>
      </c>
      <c r="AN55">
        <f>MAX(AN54,AM55)</f>
        <v/>
      </c>
      <c r="AO55">
        <f>(AN55-AM55)/AN55*100</f>
        <v/>
      </c>
    </row>
    <row r="56">
      <c r="A56" t="n">
        <v>51</v>
      </c>
      <c r="B56" s="4" t="n">
        <v>45908.30208333334</v>
      </c>
      <c r="C56" t="n">
        <v>6610.5</v>
      </c>
      <c r="D56" t="n">
        <v>6613.5</v>
      </c>
      <c r="E56" t="n">
        <v>6610.25</v>
      </c>
      <c r="F56" t="n">
        <v>6613</v>
      </c>
      <c r="G56" t="n">
        <v>2906</v>
      </c>
      <c r="H56">
        <f>F56-C56</f>
        <v/>
      </c>
      <c r="I56">
        <f>AVERAGE(H49:H53)</f>
        <v/>
      </c>
      <c r="J56">
        <f>I56+$F$1</f>
        <v/>
      </c>
      <c r="K56">
        <f>MIN(MAX(J56,-$H$1),$H$1)</f>
        <v/>
      </c>
      <c r="L56">
        <f>AI55</f>
        <v/>
      </c>
      <c r="M56">
        <f>AJ55</f>
        <v/>
      </c>
      <c r="N56">
        <f>AK55</f>
        <v/>
      </c>
      <c r="O56">
        <f>N56+L56*(F56-M56)*$H$2</f>
        <v/>
      </c>
      <c r="P56">
        <f>K56*O56</f>
        <v/>
      </c>
      <c r="Q56">
        <f>F56*$H$2</f>
        <v/>
      </c>
      <c r="R56">
        <f>INT(P56/Q56)</f>
        <v/>
      </c>
      <c r="S56">
        <f>R56-L56</f>
        <v/>
      </c>
      <c r="T56">
        <f>IF(S56&gt;0,"BUY",IF(S56&lt;0,"SELL","HOLD"))</f>
        <v/>
      </c>
      <c r="U56">
        <f>IF(S56=0,0,F56+IF(S56&gt;0,$F$2,-$F$2))</f>
        <v/>
      </c>
      <c r="V56">
        <f>AND(L56=0,S56&lt;&gt;0)</f>
        <v/>
      </c>
      <c r="W56">
        <f>AND(S56&lt;&gt;0,SIGN(L56+S56)=SIGN(L56),ABS(L56+S56)&gt;ABS(L56),L56&lt;&gt;0)</f>
        <v/>
      </c>
      <c r="X56">
        <f>AND(S56&lt;&gt;0,SIGN(L56+S56)=SIGN(L56),ABS(L56+S56)&lt;ABS(L56))</f>
        <v/>
      </c>
      <c r="Y56">
        <f>AND(S56&lt;&gt;0,L56+S56=0)</f>
        <v/>
      </c>
      <c r="Z56">
        <f>AND(S56&lt;&gt;0,SIGN(L56+S56)&lt;&gt;SIGN(L56),L56+S56&lt;&gt;0,L56&lt;&gt;0)</f>
        <v/>
      </c>
      <c r="AA56">
        <f>IF(OR(X56,Y56),ABS(S56),IF(Z56,ABS(L56),0))</f>
        <v/>
      </c>
      <c r="AB56">
        <f>AA56*(U56-M56)*$H$2*IF(L56&lt;0,-1,1)</f>
        <v/>
      </c>
      <c r="AC56">
        <f>IF(W56,ABS(L56)*M56+ABS(S56)*U56,0)</f>
        <v/>
      </c>
      <c r="AD56">
        <f>IF(W56,ABS(L56+S56),0)</f>
        <v/>
      </c>
      <c r="AE56">
        <f>IF(V56,U56,IF(W56,AC56/AD56,IF(OR(X56,Y56),IF(Y56,0,M56),IF(Z56,U56,M56))))</f>
        <v/>
      </c>
      <c r="AF56">
        <f>AB56</f>
        <v/>
      </c>
      <c r="AG56">
        <f>ABS(S56)*$D$2</f>
        <v/>
      </c>
      <c r="AH56">
        <f>AF56-AG56</f>
        <v/>
      </c>
      <c r="AI56">
        <f>L56+S56</f>
        <v/>
      </c>
      <c r="AJ56">
        <f>AE56</f>
        <v/>
      </c>
      <c r="AK56">
        <f>N56+AH56</f>
        <v/>
      </c>
      <c r="AL56">
        <f>AI56*(F56-AJ56)*$H$2</f>
        <v/>
      </c>
      <c r="AM56">
        <f>AK56+AL56</f>
        <v/>
      </c>
      <c r="AN56">
        <f>MAX(AN55,AM56)</f>
        <v/>
      </c>
      <c r="AO56">
        <f>(AN56-AM56)/AN56*100</f>
        <v/>
      </c>
    </row>
    <row r="57">
      <c r="A57" t="n">
        <v>52</v>
      </c>
      <c r="B57" s="4" t="n">
        <v>45909.30208333334</v>
      </c>
      <c r="C57" t="n">
        <v>6627.75</v>
      </c>
      <c r="D57" t="n">
        <v>6628.5</v>
      </c>
      <c r="E57" t="n">
        <v>6625</v>
      </c>
      <c r="F57" t="n">
        <v>6627.25</v>
      </c>
      <c r="G57" t="n">
        <v>2315</v>
      </c>
      <c r="H57">
        <f>F57-C57</f>
        <v/>
      </c>
      <c r="I57">
        <f>AVERAGE(H50:H54)</f>
        <v/>
      </c>
      <c r="J57">
        <f>I57+$F$1</f>
        <v/>
      </c>
      <c r="K57">
        <f>MIN(MAX(J57,-$H$1),$H$1)</f>
        <v/>
      </c>
      <c r="L57">
        <f>AI56</f>
        <v/>
      </c>
      <c r="M57">
        <f>AJ56</f>
        <v/>
      </c>
      <c r="N57">
        <f>AK56</f>
        <v/>
      </c>
      <c r="O57">
        <f>N57+L57*(F57-M57)*$H$2</f>
        <v/>
      </c>
      <c r="P57">
        <f>K57*O57</f>
        <v/>
      </c>
      <c r="Q57">
        <f>F57*$H$2</f>
        <v/>
      </c>
      <c r="R57">
        <f>INT(P57/Q57)</f>
        <v/>
      </c>
      <c r="S57">
        <f>R57-L57</f>
        <v/>
      </c>
      <c r="T57">
        <f>IF(S57&gt;0,"BUY",IF(S57&lt;0,"SELL","HOLD"))</f>
        <v/>
      </c>
      <c r="U57">
        <f>IF(S57=0,0,F57+IF(S57&gt;0,$F$2,-$F$2))</f>
        <v/>
      </c>
      <c r="V57">
        <f>AND(L57=0,S57&lt;&gt;0)</f>
        <v/>
      </c>
      <c r="W57">
        <f>AND(S57&lt;&gt;0,SIGN(L57+S57)=SIGN(L57),ABS(L57+S57)&gt;ABS(L57),L57&lt;&gt;0)</f>
        <v/>
      </c>
      <c r="X57">
        <f>AND(S57&lt;&gt;0,SIGN(L57+S57)=SIGN(L57),ABS(L57+S57)&lt;ABS(L57))</f>
        <v/>
      </c>
      <c r="Y57">
        <f>AND(S57&lt;&gt;0,L57+S57=0)</f>
        <v/>
      </c>
      <c r="Z57">
        <f>AND(S57&lt;&gt;0,SIGN(L57+S57)&lt;&gt;SIGN(L57),L57+S57&lt;&gt;0,L57&lt;&gt;0)</f>
        <v/>
      </c>
      <c r="AA57">
        <f>IF(OR(X57,Y57),ABS(S57),IF(Z57,ABS(L57),0))</f>
        <v/>
      </c>
      <c r="AB57">
        <f>AA57*(U57-M57)*$H$2*IF(L57&lt;0,-1,1)</f>
        <v/>
      </c>
      <c r="AC57">
        <f>IF(W57,ABS(L57)*M57+ABS(S57)*U57,0)</f>
        <v/>
      </c>
      <c r="AD57">
        <f>IF(W57,ABS(L57+S57),0)</f>
        <v/>
      </c>
      <c r="AE57">
        <f>IF(V57,U57,IF(W57,AC57/AD57,IF(OR(X57,Y57),IF(Y57,0,M57),IF(Z57,U57,M57))))</f>
        <v/>
      </c>
      <c r="AF57">
        <f>AB57</f>
        <v/>
      </c>
      <c r="AG57">
        <f>ABS(S57)*$D$2</f>
        <v/>
      </c>
      <c r="AH57">
        <f>AF57-AG57</f>
        <v/>
      </c>
      <c r="AI57">
        <f>L57+S57</f>
        <v/>
      </c>
      <c r="AJ57">
        <f>AE57</f>
        <v/>
      </c>
      <c r="AK57">
        <f>N57+AH57</f>
        <v/>
      </c>
      <c r="AL57">
        <f>AI57*(F57-AJ57)*$H$2</f>
        <v/>
      </c>
      <c r="AM57">
        <f>AK57+AL57</f>
        <v/>
      </c>
      <c r="AN57">
        <f>MAX(AN56,AM57)</f>
        <v/>
      </c>
      <c r="AO57">
        <f>(AN57-AM57)/AN57*100</f>
        <v/>
      </c>
    </row>
    <row r="58">
      <c r="A58" t="n">
        <v>53</v>
      </c>
      <c r="B58" s="4" t="n">
        <v>45910.30208333334</v>
      </c>
      <c r="C58" t="n">
        <v>6656.75</v>
      </c>
      <c r="D58" t="n">
        <v>6657</v>
      </c>
      <c r="E58" t="n">
        <v>6653.75</v>
      </c>
      <c r="F58" t="n">
        <v>6655.5</v>
      </c>
      <c r="G58" t="n">
        <v>4804</v>
      </c>
      <c r="H58">
        <f>F58-C58</f>
        <v/>
      </c>
      <c r="I58">
        <f>AVERAGE(H51:H55)</f>
        <v/>
      </c>
      <c r="J58">
        <f>I58+$F$1</f>
        <v/>
      </c>
      <c r="K58">
        <f>MIN(MAX(J58,-$H$1),$H$1)</f>
        <v/>
      </c>
      <c r="L58">
        <f>AI57</f>
        <v/>
      </c>
      <c r="M58">
        <f>AJ57</f>
        <v/>
      </c>
      <c r="N58">
        <f>AK57</f>
        <v/>
      </c>
      <c r="O58">
        <f>N58+L58*(F58-M58)*$H$2</f>
        <v/>
      </c>
      <c r="P58">
        <f>K58*O58</f>
        <v/>
      </c>
      <c r="Q58">
        <f>F58*$H$2</f>
        <v/>
      </c>
      <c r="R58">
        <f>INT(P58/Q58)</f>
        <v/>
      </c>
      <c r="S58">
        <f>R58-L58</f>
        <v/>
      </c>
      <c r="T58">
        <f>IF(S58&gt;0,"BUY",IF(S58&lt;0,"SELL","HOLD"))</f>
        <v/>
      </c>
      <c r="U58">
        <f>IF(S58=0,0,F58+IF(S58&gt;0,$F$2,-$F$2))</f>
        <v/>
      </c>
      <c r="V58">
        <f>AND(L58=0,S58&lt;&gt;0)</f>
        <v/>
      </c>
      <c r="W58">
        <f>AND(S58&lt;&gt;0,SIGN(L58+S58)=SIGN(L58),ABS(L58+S58)&gt;ABS(L58),L58&lt;&gt;0)</f>
        <v/>
      </c>
      <c r="X58">
        <f>AND(S58&lt;&gt;0,SIGN(L58+S58)=SIGN(L58),ABS(L58+S58)&lt;ABS(L58))</f>
        <v/>
      </c>
      <c r="Y58">
        <f>AND(S58&lt;&gt;0,L58+S58=0)</f>
        <v/>
      </c>
      <c r="Z58">
        <f>AND(S58&lt;&gt;0,SIGN(L58+S58)&lt;&gt;SIGN(L58),L58+S58&lt;&gt;0,L58&lt;&gt;0)</f>
        <v/>
      </c>
      <c r="AA58">
        <f>IF(OR(X58,Y58),ABS(S58),IF(Z58,ABS(L58),0))</f>
        <v/>
      </c>
      <c r="AB58">
        <f>AA58*(U58-M58)*$H$2*IF(L58&lt;0,-1,1)</f>
        <v/>
      </c>
      <c r="AC58">
        <f>IF(W58,ABS(L58)*M58+ABS(S58)*U58,0)</f>
        <v/>
      </c>
      <c r="AD58">
        <f>IF(W58,ABS(L58+S58),0)</f>
        <v/>
      </c>
      <c r="AE58">
        <f>IF(V58,U58,IF(W58,AC58/AD58,IF(OR(X58,Y58),IF(Y58,0,M58),IF(Z58,U58,M58))))</f>
        <v/>
      </c>
      <c r="AF58">
        <f>AB58</f>
        <v/>
      </c>
      <c r="AG58">
        <f>ABS(S58)*$D$2</f>
        <v/>
      </c>
      <c r="AH58">
        <f>AF58-AG58</f>
        <v/>
      </c>
      <c r="AI58">
        <f>L58+S58</f>
        <v/>
      </c>
      <c r="AJ58">
        <f>AE58</f>
        <v/>
      </c>
      <c r="AK58">
        <f>N58+AH58</f>
        <v/>
      </c>
      <c r="AL58">
        <f>AI58*(F58-AJ58)*$H$2</f>
        <v/>
      </c>
      <c r="AM58">
        <f>AK58+AL58</f>
        <v/>
      </c>
      <c r="AN58">
        <f>MAX(AN57,AM58)</f>
        <v/>
      </c>
      <c r="AO58">
        <f>(AN58-AM58)/AN58*100</f>
        <v/>
      </c>
    </row>
    <row r="59">
      <c r="A59" t="n">
        <v>54</v>
      </c>
      <c r="B59" s="4" t="n">
        <v>45911.30208333334</v>
      </c>
      <c r="C59" t="n">
        <v>6667</v>
      </c>
      <c r="D59" t="n">
        <v>6671.25</v>
      </c>
      <c r="E59" t="n">
        <v>6665.25</v>
      </c>
      <c r="F59" t="n">
        <v>6668.5</v>
      </c>
      <c r="G59" t="n">
        <v>8960</v>
      </c>
      <c r="H59">
        <f>F59-C59</f>
        <v/>
      </c>
      <c r="I59">
        <f>AVERAGE(H52:H56)</f>
        <v/>
      </c>
      <c r="J59">
        <f>I59+$F$1</f>
        <v/>
      </c>
      <c r="K59">
        <f>MIN(MAX(J59,-$H$1),$H$1)</f>
        <v/>
      </c>
      <c r="L59">
        <f>AI58</f>
        <v/>
      </c>
      <c r="M59">
        <f>AJ58</f>
        <v/>
      </c>
      <c r="N59">
        <f>AK58</f>
        <v/>
      </c>
      <c r="O59">
        <f>N59+L59*(F59-M59)*$H$2</f>
        <v/>
      </c>
      <c r="P59">
        <f>K59*O59</f>
        <v/>
      </c>
      <c r="Q59">
        <f>F59*$H$2</f>
        <v/>
      </c>
      <c r="R59">
        <f>INT(P59/Q59)</f>
        <v/>
      </c>
      <c r="S59">
        <f>R59-L59</f>
        <v/>
      </c>
      <c r="T59">
        <f>IF(S59&gt;0,"BUY",IF(S59&lt;0,"SELL","HOLD"))</f>
        <v/>
      </c>
      <c r="U59">
        <f>IF(S59=0,0,F59+IF(S59&gt;0,$F$2,-$F$2))</f>
        <v/>
      </c>
      <c r="V59">
        <f>AND(L59=0,S59&lt;&gt;0)</f>
        <v/>
      </c>
      <c r="W59">
        <f>AND(S59&lt;&gt;0,SIGN(L59+S59)=SIGN(L59),ABS(L59+S59)&gt;ABS(L59),L59&lt;&gt;0)</f>
        <v/>
      </c>
      <c r="X59">
        <f>AND(S59&lt;&gt;0,SIGN(L59+S59)=SIGN(L59),ABS(L59+S59)&lt;ABS(L59))</f>
        <v/>
      </c>
      <c r="Y59">
        <f>AND(S59&lt;&gt;0,L59+S59=0)</f>
        <v/>
      </c>
      <c r="Z59">
        <f>AND(S59&lt;&gt;0,SIGN(L59+S59)&lt;&gt;SIGN(L59),L59+S59&lt;&gt;0,L59&lt;&gt;0)</f>
        <v/>
      </c>
      <c r="AA59">
        <f>IF(OR(X59,Y59),ABS(S59),IF(Z59,ABS(L59),0))</f>
        <v/>
      </c>
      <c r="AB59">
        <f>AA59*(U59-M59)*$H$2*IF(L59&lt;0,-1,1)</f>
        <v/>
      </c>
      <c r="AC59">
        <f>IF(W59,ABS(L59)*M59+ABS(S59)*U59,0)</f>
        <v/>
      </c>
      <c r="AD59">
        <f>IF(W59,ABS(L59+S59),0)</f>
        <v/>
      </c>
      <c r="AE59">
        <f>IF(V59,U59,IF(W59,AC59/AD59,IF(OR(X59,Y59),IF(Y59,0,M59),IF(Z59,U59,M59))))</f>
        <v/>
      </c>
      <c r="AF59">
        <f>AB59</f>
        <v/>
      </c>
      <c r="AG59">
        <f>ABS(S59)*$D$2</f>
        <v/>
      </c>
      <c r="AH59">
        <f>AF59-AG59</f>
        <v/>
      </c>
      <c r="AI59">
        <f>L59+S59</f>
        <v/>
      </c>
      <c r="AJ59">
        <f>AE59</f>
        <v/>
      </c>
      <c r="AK59">
        <f>N59+AH59</f>
        <v/>
      </c>
      <c r="AL59">
        <f>AI59*(F59-AJ59)*$H$2</f>
        <v/>
      </c>
      <c r="AM59">
        <f>AK59+AL59</f>
        <v/>
      </c>
      <c r="AN59">
        <f>MAX(AN58,AM59)</f>
        <v/>
      </c>
      <c r="AO59">
        <f>(AN59-AM59)/AN59*100</f>
        <v/>
      </c>
    </row>
    <row r="60">
      <c r="A60" t="n">
        <v>55</v>
      </c>
      <c r="B60" s="4" t="n">
        <v>45912.30208333334</v>
      </c>
      <c r="C60" t="n">
        <v>6702</v>
      </c>
      <c r="D60" t="n">
        <v>6704.75</v>
      </c>
      <c r="E60" t="n">
        <v>6701</v>
      </c>
      <c r="F60" t="n">
        <v>6703.75</v>
      </c>
      <c r="G60" t="n">
        <v>4944</v>
      </c>
      <c r="H60">
        <f>F60-C60</f>
        <v/>
      </c>
      <c r="I60">
        <f>AVERAGE(H53:H57)</f>
        <v/>
      </c>
      <c r="J60">
        <f>I60+$F$1</f>
        <v/>
      </c>
      <c r="K60">
        <f>MIN(MAX(J60,-$H$1),$H$1)</f>
        <v/>
      </c>
      <c r="L60">
        <f>AI59</f>
        <v/>
      </c>
      <c r="M60">
        <f>AJ59</f>
        <v/>
      </c>
      <c r="N60">
        <f>AK59</f>
        <v/>
      </c>
      <c r="O60">
        <f>N60+L60*(F60-M60)*$H$2</f>
        <v/>
      </c>
      <c r="P60">
        <f>K60*O60</f>
        <v/>
      </c>
      <c r="Q60">
        <f>F60*$H$2</f>
        <v/>
      </c>
      <c r="R60">
        <f>INT(P60/Q60)</f>
        <v/>
      </c>
      <c r="S60">
        <f>R60-L60</f>
        <v/>
      </c>
      <c r="T60">
        <f>IF(S60&gt;0,"BUY",IF(S60&lt;0,"SELL","HOLD"))</f>
        <v/>
      </c>
      <c r="U60">
        <f>IF(S60=0,0,F60+IF(S60&gt;0,$F$2,-$F$2))</f>
        <v/>
      </c>
      <c r="V60">
        <f>AND(L60=0,S60&lt;&gt;0)</f>
        <v/>
      </c>
      <c r="W60">
        <f>AND(S60&lt;&gt;0,SIGN(L60+S60)=SIGN(L60),ABS(L60+S60)&gt;ABS(L60),L60&lt;&gt;0)</f>
        <v/>
      </c>
      <c r="X60">
        <f>AND(S60&lt;&gt;0,SIGN(L60+S60)=SIGN(L60),ABS(L60+S60)&lt;ABS(L60))</f>
        <v/>
      </c>
      <c r="Y60">
        <f>AND(S60&lt;&gt;0,L60+S60=0)</f>
        <v/>
      </c>
      <c r="Z60">
        <f>AND(S60&lt;&gt;0,SIGN(L60+S60)&lt;&gt;SIGN(L60),L60+S60&lt;&gt;0,L60&lt;&gt;0)</f>
        <v/>
      </c>
      <c r="AA60">
        <f>IF(OR(X60,Y60),ABS(S60),IF(Z60,ABS(L60),0))</f>
        <v/>
      </c>
      <c r="AB60">
        <f>AA60*(U60-M60)*$H$2*IF(L60&lt;0,-1,1)</f>
        <v/>
      </c>
      <c r="AC60">
        <f>IF(W60,ABS(L60)*M60+ABS(S60)*U60,0)</f>
        <v/>
      </c>
      <c r="AD60">
        <f>IF(W60,ABS(L60+S60),0)</f>
        <v/>
      </c>
      <c r="AE60">
        <f>IF(V60,U60,IF(W60,AC60/AD60,IF(OR(X60,Y60),IF(Y60,0,M60),IF(Z60,U60,M60))))</f>
        <v/>
      </c>
      <c r="AF60">
        <f>AB60</f>
        <v/>
      </c>
      <c r="AG60">
        <f>ABS(S60)*$D$2</f>
        <v/>
      </c>
      <c r="AH60">
        <f>AF60-AG60</f>
        <v/>
      </c>
      <c r="AI60">
        <f>L60+S60</f>
        <v/>
      </c>
      <c r="AJ60">
        <f>AE60</f>
        <v/>
      </c>
      <c r="AK60">
        <f>N60+AH60</f>
        <v/>
      </c>
      <c r="AL60">
        <f>AI60*(F60-AJ60)*$H$2</f>
        <v/>
      </c>
      <c r="AM60">
        <f>AK60+AL60</f>
        <v/>
      </c>
      <c r="AN60">
        <f>MAX(AN59,AM60)</f>
        <v/>
      </c>
      <c r="AO60">
        <f>(AN60-AM60)/AN60*100</f>
        <v/>
      </c>
    </row>
    <row r="61">
      <c r="A61" t="n">
        <v>56</v>
      </c>
      <c r="B61" s="4" t="n">
        <v>45915.30208333334</v>
      </c>
      <c r="C61" t="n">
        <v>6718.75</v>
      </c>
      <c r="D61" t="n">
        <v>6724.25</v>
      </c>
      <c r="E61" t="n">
        <v>6717.75</v>
      </c>
      <c r="F61" t="n">
        <v>6720.75</v>
      </c>
      <c r="G61" t="n">
        <v>9718</v>
      </c>
      <c r="H61">
        <f>F61-C61</f>
        <v/>
      </c>
      <c r="I61">
        <f>AVERAGE(H54:H58)</f>
        <v/>
      </c>
      <c r="J61">
        <f>I61+$F$1</f>
        <v/>
      </c>
      <c r="K61">
        <f>MIN(MAX(J61,-$H$1),$H$1)</f>
        <v/>
      </c>
      <c r="L61">
        <f>AI60</f>
        <v/>
      </c>
      <c r="M61">
        <f>AJ60</f>
        <v/>
      </c>
      <c r="N61">
        <f>AK60</f>
        <v/>
      </c>
      <c r="O61">
        <f>N61+L61*(F61-M61)*$H$2</f>
        <v/>
      </c>
      <c r="P61">
        <f>K61*O61</f>
        <v/>
      </c>
      <c r="Q61">
        <f>F61*$H$2</f>
        <v/>
      </c>
      <c r="R61">
        <f>INT(P61/Q61)</f>
        <v/>
      </c>
      <c r="S61">
        <f>R61-L61</f>
        <v/>
      </c>
      <c r="T61">
        <f>IF(S61&gt;0,"BUY",IF(S61&lt;0,"SELL","HOLD"))</f>
        <v/>
      </c>
      <c r="U61">
        <f>IF(S61=0,0,F61+IF(S61&gt;0,$F$2,-$F$2))</f>
        <v/>
      </c>
      <c r="V61">
        <f>AND(L61=0,S61&lt;&gt;0)</f>
        <v/>
      </c>
      <c r="W61">
        <f>AND(S61&lt;&gt;0,SIGN(L61+S61)=SIGN(L61),ABS(L61+S61)&gt;ABS(L61),L61&lt;&gt;0)</f>
        <v/>
      </c>
      <c r="X61">
        <f>AND(S61&lt;&gt;0,SIGN(L61+S61)=SIGN(L61),ABS(L61+S61)&lt;ABS(L61))</f>
        <v/>
      </c>
      <c r="Y61">
        <f>AND(S61&lt;&gt;0,L61+S61=0)</f>
        <v/>
      </c>
      <c r="Z61">
        <f>AND(S61&lt;&gt;0,SIGN(L61+S61)&lt;&gt;SIGN(L61),L61+S61&lt;&gt;0,L61&lt;&gt;0)</f>
        <v/>
      </c>
      <c r="AA61">
        <f>IF(OR(X61,Y61),ABS(S61),IF(Z61,ABS(L61),0))</f>
        <v/>
      </c>
      <c r="AB61">
        <f>AA61*(U61-M61)*$H$2*IF(L61&lt;0,-1,1)</f>
        <v/>
      </c>
      <c r="AC61">
        <f>IF(W61,ABS(L61)*M61+ABS(S61)*U61,0)</f>
        <v/>
      </c>
      <c r="AD61">
        <f>IF(W61,ABS(L61+S61),0)</f>
        <v/>
      </c>
      <c r="AE61">
        <f>IF(V61,U61,IF(W61,AC61/AD61,IF(OR(X61,Y61),IF(Y61,0,M61),IF(Z61,U61,M61))))</f>
        <v/>
      </c>
      <c r="AF61">
        <f>AB61</f>
        <v/>
      </c>
      <c r="AG61">
        <f>ABS(S61)*$D$2</f>
        <v/>
      </c>
      <c r="AH61">
        <f>AF61-AG61</f>
        <v/>
      </c>
      <c r="AI61">
        <f>L61+S61</f>
        <v/>
      </c>
      <c r="AJ61">
        <f>AE61</f>
        <v/>
      </c>
      <c r="AK61">
        <f>N61+AH61</f>
        <v/>
      </c>
      <c r="AL61">
        <f>AI61*(F61-AJ61)*$H$2</f>
        <v/>
      </c>
      <c r="AM61">
        <f>AK61+AL61</f>
        <v/>
      </c>
      <c r="AN61">
        <f>MAX(AN60,AM61)</f>
        <v/>
      </c>
      <c r="AO61">
        <f>(AN61-AM61)/AN61*100</f>
        <v/>
      </c>
    </row>
    <row r="62">
      <c r="A62" t="n">
        <v>57</v>
      </c>
      <c r="B62" s="4" t="n">
        <v>45916.30208333334</v>
      </c>
      <c r="C62" t="n">
        <v>6747</v>
      </c>
      <c r="D62" t="n">
        <v>6747.75</v>
      </c>
      <c r="E62" t="n">
        <v>6744.25</v>
      </c>
      <c r="F62" t="n">
        <v>6745.25</v>
      </c>
      <c r="G62" t="n">
        <v>3694</v>
      </c>
      <c r="H62">
        <f>F62-C62</f>
        <v/>
      </c>
      <c r="I62">
        <f>AVERAGE(H55:H59)</f>
        <v/>
      </c>
      <c r="J62">
        <f>I62+$F$1</f>
        <v/>
      </c>
      <c r="K62">
        <f>MIN(MAX(J62,-$H$1),$H$1)</f>
        <v/>
      </c>
      <c r="L62">
        <f>AI61</f>
        <v/>
      </c>
      <c r="M62">
        <f>AJ61</f>
        <v/>
      </c>
      <c r="N62">
        <f>AK61</f>
        <v/>
      </c>
      <c r="O62">
        <f>N62+L62*(F62-M62)*$H$2</f>
        <v/>
      </c>
      <c r="P62">
        <f>K62*O62</f>
        <v/>
      </c>
      <c r="Q62">
        <f>F62*$H$2</f>
        <v/>
      </c>
      <c r="R62">
        <f>INT(P62/Q62)</f>
        <v/>
      </c>
      <c r="S62">
        <f>R62-L62</f>
        <v/>
      </c>
      <c r="T62">
        <f>IF(S62&gt;0,"BUY",IF(S62&lt;0,"SELL","HOLD"))</f>
        <v/>
      </c>
      <c r="U62">
        <f>IF(S62=0,0,F62+IF(S62&gt;0,$F$2,-$F$2))</f>
        <v/>
      </c>
      <c r="V62">
        <f>AND(L62=0,S62&lt;&gt;0)</f>
        <v/>
      </c>
      <c r="W62">
        <f>AND(S62&lt;&gt;0,SIGN(L62+S62)=SIGN(L62),ABS(L62+S62)&gt;ABS(L62),L62&lt;&gt;0)</f>
        <v/>
      </c>
      <c r="X62">
        <f>AND(S62&lt;&gt;0,SIGN(L62+S62)=SIGN(L62),ABS(L62+S62)&lt;ABS(L62))</f>
        <v/>
      </c>
      <c r="Y62">
        <f>AND(S62&lt;&gt;0,L62+S62=0)</f>
        <v/>
      </c>
      <c r="Z62">
        <f>AND(S62&lt;&gt;0,SIGN(L62+S62)&lt;&gt;SIGN(L62),L62+S62&lt;&gt;0,L62&lt;&gt;0)</f>
        <v/>
      </c>
      <c r="AA62">
        <f>IF(OR(X62,Y62),ABS(S62),IF(Z62,ABS(L62),0))</f>
        <v/>
      </c>
      <c r="AB62">
        <f>AA62*(U62-M62)*$H$2*IF(L62&lt;0,-1,1)</f>
        <v/>
      </c>
      <c r="AC62">
        <f>IF(W62,ABS(L62)*M62+ABS(S62)*U62,0)</f>
        <v/>
      </c>
      <c r="AD62">
        <f>IF(W62,ABS(L62+S62),0)</f>
        <v/>
      </c>
      <c r="AE62">
        <f>IF(V62,U62,IF(W62,AC62/AD62,IF(OR(X62,Y62),IF(Y62,0,M62),IF(Z62,U62,M62))))</f>
        <v/>
      </c>
      <c r="AF62">
        <f>AB62</f>
        <v/>
      </c>
      <c r="AG62">
        <f>ABS(S62)*$D$2</f>
        <v/>
      </c>
      <c r="AH62">
        <f>AF62-AG62</f>
        <v/>
      </c>
      <c r="AI62">
        <f>L62+S62</f>
        <v/>
      </c>
      <c r="AJ62">
        <f>AE62</f>
        <v/>
      </c>
      <c r="AK62">
        <f>N62+AH62</f>
        <v/>
      </c>
      <c r="AL62">
        <f>AI62*(F62-AJ62)*$H$2</f>
        <v/>
      </c>
      <c r="AM62">
        <f>AK62+AL62</f>
        <v/>
      </c>
      <c r="AN62">
        <f>MAX(AN61,AM62)</f>
        <v/>
      </c>
      <c r="AO62">
        <f>(AN62-AM62)/AN62*100</f>
        <v/>
      </c>
    </row>
    <row r="63">
      <c r="A63" t="n">
        <v>58</v>
      </c>
      <c r="B63" s="4" t="n">
        <v>45917.30208333334</v>
      </c>
      <c r="C63" t="n">
        <v>6722.25</v>
      </c>
      <c r="D63" t="n">
        <v>6724.25</v>
      </c>
      <c r="E63" t="n">
        <v>6720.5</v>
      </c>
      <c r="F63" t="n">
        <v>6723.75</v>
      </c>
      <c r="G63" t="n">
        <v>2875</v>
      </c>
      <c r="H63">
        <f>F63-C63</f>
        <v/>
      </c>
      <c r="I63">
        <f>AVERAGE(H56:H60)</f>
        <v/>
      </c>
      <c r="J63">
        <f>I63+$F$1</f>
        <v/>
      </c>
      <c r="K63">
        <f>MIN(MAX(J63,-$H$1),$H$1)</f>
        <v/>
      </c>
      <c r="L63">
        <f>AI62</f>
        <v/>
      </c>
      <c r="M63">
        <f>AJ62</f>
        <v/>
      </c>
      <c r="N63">
        <f>AK62</f>
        <v/>
      </c>
      <c r="O63">
        <f>N63+L63*(F63-M63)*$H$2</f>
        <v/>
      </c>
      <c r="P63">
        <f>K63*O63</f>
        <v/>
      </c>
      <c r="Q63">
        <f>F63*$H$2</f>
        <v/>
      </c>
      <c r="R63">
        <f>INT(P63/Q63)</f>
        <v/>
      </c>
      <c r="S63">
        <f>R63-L63</f>
        <v/>
      </c>
      <c r="T63">
        <f>IF(S63&gt;0,"BUY",IF(S63&lt;0,"SELL","HOLD"))</f>
        <v/>
      </c>
      <c r="U63">
        <f>IF(S63=0,0,F63+IF(S63&gt;0,$F$2,-$F$2))</f>
        <v/>
      </c>
      <c r="V63">
        <f>AND(L63=0,S63&lt;&gt;0)</f>
        <v/>
      </c>
      <c r="W63">
        <f>AND(S63&lt;&gt;0,SIGN(L63+S63)=SIGN(L63),ABS(L63+S63)&gt;ABS(L63),L63&lt;&gt;0)</f>
        <v/>
      </c>
      <c r="X63">
        <f>AND(S63&lt;&gt;0,SIGN(L63+S63)=SIGN(L63),ABS(L63+S63)&lt;ABS(L63))</f>
        <v/>
      </c>
      <c r="Y63">
        <f>AND(S63&lt;&gt;0,L63+S63=0)</f>
        <v/>
      </c>
      <c r="Z63">
        <f>AND(S63&lt;&gt;0,SIGN(L63+S63)&lt;&gt;SIGN(L63),L63+S63&lt;&gt;0,L63&lt;&gt;0)</f>
        <v/>
      </c>
      <c r="AA63">
        <f>IF(OR(X63,Y63),ABS(S63),IF(Z63,ABS(L63),0))</f>
        <v/>
      </c>
      <c r="AB63">
        <f>AA63*(U63-M63)*$H$2*IF(L63&lt;0,-1,1)</f>
        <v/>
      </c>
      <c r="AC63">
        <f>IF(W63,ABS(L63)*M63+ABS(S63)*U63,0)</f>
        <v/>
      </c>
      <c r="AD63">
        <f>IF(W63,ABS(L63+S63),0)</f>
        <v/>
      </c>
      <c r="AE63">
        <f>IF(V63,U63,IF(W63,AC63/AD63,IF(OR(X63,Y63),IF(Y63,0,M63),IF(Z63,U63,M63))))</f>
        <v/>
      </c>
      <c r="AF63">
        <f>AB63</f>
        <v/>
      </c>
      <c r="AG63">
        <f>ABS(S63)*$D$2</f>
        <v/>
      </c>
      <c r="AH63">
        <f>AF63-AG63</f>
        <v/>
      </c>
      <c r="AI63">
        <f>L63+S63</f>
        <v/>
      </c>
      <c r="AJ63">
        <f>AE63</f>
        <v/>
      </c>
      <c r="AK63">
        <f>N63+AH63</f>
        <v/>
      </c>
      <c r="AL63">
        <f>AI63*(F63-AJ63)*$H$2</f>
        <v/>
      </c>
      <c r="AM63">
        <f>AK63+AL63</f>
        <v/>
      </c>
      <c r="AN63">
        <f>MAX(AN62,AM63)</f>
        <v/>
      </c>
      <c r="AO63">
        <f>(AN63-AM63)/AN63*100</f>
        <v/>
      </c>
    </row>
    <row r="64">
      <c r="A64" t="n">
        <v>59</v>
      </c>
      <c r="B64" s="4" t="n">
        <v>45918.30208333334</v>
      </c>
      <c r="C64" t="n">
        <v>6766</v>
      </c>
      <c r="D64" t="n">
        <v>6771.25</v>
      </c>
      <c r="E64" t="n">
        <v>6764.5</v>
      </c>
      <c r="F64" t="n">
        <v>6769.25</v>
      </c>
      <c r="G64" t="n">
        <v>5760</v>
      </c>
      <c r="H64">
        <f>F64-C64</f>
        <v/>
      </c>
      <c r="I64">
        <f>AVERAGE(H57:H61)</f>
        <v/>
      </c>
      <c r="J64">
        <f>I64+$F$1</f>
        <v/>
      </c>
      <c r="K64">
        <f>MIN(MAX(J64,-$H$1),$H$1)</f>
        <v/>
      </c>
      <c r="L64">
        <f>AI63</f>
        <v/>
      </c>
      <c r="M64">
        <f>AJ63</f>
        <v/>
      </c>
      <c r="N64">
        <f>AK63</f>
        <v/>
      </c>
      <c r="O64">
        <f>N64+L64*(F64-M64)*$H$2</f>
        <v/>
      </c>
      <c r="P64">
        <f>K64*O64</f>
        <v/>
      </c>
      <c r="Q64">
        <f>F64*$H$2</f>
        <v/>
      </c>
      <c r="R64">
        <f>INT(P64/Q64)</f>
        <v/>
      </c>
      <c r="S64">
        <f>R64-L64</f>
        <v/>
      </c>
      <c r="T64">
        <f>IF(S64&gt;0,"BUY",IF(S64&lt;0,"SELL","HOLD"))</f>
        <v/>
      </c>
      <c r="U64">
        <f>IF(S64=0,0,F64+IF(S64&gt;0,$F$2,-$F$2))</f>
        <v/>
      </c>
      <c r="V64">
        <f>AND(L64=0,S64&lt;&gt;0)</f>
        <v/>
      </c>
      <c r="W64">
        <f>AND(S64&lt;&gt;0,SIGN(L64+S64)=SIGN(L64),ABS(L64+S64)&gt;ABS(L64),L64&lt;&gt;0)</f>
        <v/>
      </c>
      <c r="X64">
        <f>AND(S64&lt;&gt;0,SIGN(L64+S64)=SIGN(L64),ABS(L64+S64)&lt;ABS(L64))</f>
        <v/>
      </c>
      <c r="Y64">
        <f>AND(S64&lt;&gt;0,L64+S64=0)</f>
        <v/>
      </c>
      <c r="Z64">
        <f>AND(S64&lt;&gt;0,SIGN(L64+S64)&lt;&gt;SIGN(L64),L64+S64&lt;&gt;0,L64&lt;&gt;0)</f>
        <v/>
      </c>
      <c r="AA64">
        <f>IF(OR(X64,Y64),ABS(S64),IF(Z64,ABS(L64),0))</f>
        <v/>
      </c>
      <c r="AB64">
        <f>AA64*(U64-M64)*$H$2*IF(L64&lt;0,-1,1)</f>
        <v/>
      </c>
      <c r="AC64">
        <f>IF(W64,ABS(L64)*M64+ABS(S64)*U64,0)</f>
        <v/>
      </c>
      <c r="AD64">
        <f>IF(W64,ABS(L64+S64),0)</f>
        <v/>
      </c>
      <c r="AE64">
        <f>IF(V64,U64,IF(W64,AC64/AD64,IF(OR(X64,Y64),IF(Y64,0,M64),IF(Z64,U64,M64))))</f>
        <v/>
      </c>
      <c r="AF64">
        <f>AB64</f>
        <v/>
      </c>
      <c r="AG64">
        <f>ABS(S64)*$D$2</f>
        <v/>
      </c>
      <c r="AH64">
        <f>AF64-AG64</f>
        <v/>
      </c>
      <c r="AI64">
        <f>L64+S64</f>
        <v/>
      </c>
      <c r="AJ64">
        <f>AE64</f>
        <v/>
      </c>
      <c r="AK64">
        <f>N64+AH64</f>
        <v/>
      </c>
      <c r="AL64">
        <f>AI64*(F64-AJ64)*$H$2</f>
        <v/>
      </c>
      <c r="AM64">
        <f>AK64+AL64</f>
        <v/>
      </c>
      <c r="AN64">
        <f>MAX(AN63,AM64)</f>
        <v/>
      </c>
      <c r="AO64">
        <f>(AN64-AM64)/AN64*100</f>
        <v/>
      </c>
    </row>
    <row r="65">
      <c r="A65" t="n">
        <v>60</v>
      </c>
      <c r="B65" s="4" t="n">
        <v>45919.30208333334</v>
      </c>
      <c r="C65" t="n">
        <v>6760.25</v>
      </c>
      <c r="D65" t="n">
        <v>6764.25</v>
      </c>
      <c r="E65" t="n">
        <v>6759.25</v>
      </c>
      <c r="F65" t="n">
        <v>6763.25</v>
      </c>
      <c r="G65" t="n">
        <v>4418</v>
      </c>
      <c r="H65">
        <f>F65-C65</f>
        <v/>
      </c>
      <c r="I65">
        <f>AVERAGE(H58:H62)</f>
        <v/>
      </c>
      <c r="J65">
        <f>I65+$F$1</f>
        <v/>
      </c>
      <c r="K65">
        <f>MIN(MAX(J65,-$H$1),$H$1)</f>
        <v/>
      </c>
      <c r="L65">
        <f>AI64</f>
        <v/>
      </c>
      <c r="M65">
        <f>AJ64</f>
        <v/>
      </c>
      <c r="N65">
        <f>AK64</f>
        <v/>
      </c>
      <c r="O65">
        <f>N65+L65*(F65-M65)*$H$2</f>
        <v/>
      </c>
      <c r="P65">
        <f>K65*O65</f>
        <v/>
      </c>
      <c r="Q65">
        <f>F65*$H$2</f>
        <v/>
      </c>
      <c r="R65">
        <f>INT(P65/Q65)</f>
        <v/>
      </c>
      <c r="S65">
        <f>R65-L65</f>
        <v/>
      </c>
      <c r="T65">
        <f>IF(S65&gt;0,"BUY",IF(S65&lt;0,"SELL","HOLD"))</f>
        <v/>
      </c>
      <c r="U65">
        <f>IF(S65=0,0,F65+IF(S65&gt;0,$F$2,-$F$2))</f>
        <v/>
      </c>
      <c r="V65">
        <f>AND(L65=0,S65&lt;&gt;0)</f>
        <v/>
      </c>
      <c r="W65">
        <f>AND(S65&lt;&gt;0,SIGN(L65+S65)=SIGN(L65),ABS(L65+S65)&gt;ABS(L65),L65&lt;&gt;0)</f>
        <v/>
      </c>
      <c r="X65">
        <f>AND(S65&lt;&gt;0,SIGN(L65+S65)=SIGN(L65),ABS(L65+S65)&lt;ABS(L65))</f>
        <v/>
      </c>
      <c r="Y65">
        <f>AND(S65&lt;&gt;0,L65+S65=0)</f>
        <v/>
      </c>
      <c r="Z65">
        <f>AND(S65&lt;&gt;0,SIGN(L65+S65)&lt;&gt;SIGN(L65),L65+S65&lt;&gt;0,L65&lt;&gt;0)</f>
        <v/>
      </c>
      <c r="AA65">
        <f>IF(OR(X65,Y65),ABS(S65),IF(Z65,ABS(L65),0))</f>
        <v/>
      </c>
      <c r="AB65">
        <f>AA65*(U65-M65)*$H$2*IF(L65&lt;0,-1,1)</f>
        <v/>
      </c>
      <c r="AC65">
        <f>IF(W65,ABS(L65)*M65+ABS(S65)*U65,0)</f>
        <v/>
      </c>
      <c r="AD65">
        <f>IF(W65,ABS(L65+S65),0)</f>
        <v/>
      </c>
      <c r="AE65">
        <f>IF(V65,U65,IF(W65,AC65/AD65,IF(OR(X65,Y65),IF(Y65,0,M65),IF(Z65,U65,M65))))</f>
        <v/>
      </c>
      <c r="AF65">
        <f>AB65</f>
        <v/>
      </c>
      <c r="AG65">
        <f>ABS(S65)*$D$2</f>
        <v/>
      </c>
      <c r="AH65">
        <f>AF65-AG65</f>
        <v/>
      </c>
      <c r="AI65">
        <f>L65+S65</f>
        <v/>
      </c>
      <c r="AJ65">
        <f>AE65</f>
        <v/>
      </c>
      <c r="AK65">
        <f>N65+AH65</f>
        <v/>
      </c>
      <c r="AL65">
        <f>AI65*(F65-AJ65)*$H$2</f>
        <v/>
      </c>
      <c r="AM65">
        <f>AK65+AL65</f>
        <v/>
      </c>
      <c r="AN65">
        <f>MAX(AN64,AM65)</f>
        <v/>
      </c>
      <c r="AO65">
        <f>(AN65-AM65)/AN65*100</f>
        <v/>
      </c>
    </row>
    <row r="66">
      <c r="A66" t="n">
        <v>61</v>
      </c>
      <c r="B66" s="4" t="n">
        <v>45922.30208333334</v>
      </c>
      <c r="C66" t="n">
        <v>6757.5</v>
      </c>
      <c r="D66" t="n">
        <v>6759.75</v>
      </c>
      <c r="E66" t="n">
        <v>6757</v>
      </c>
      <c r="F66" t="n">
        <v>6757.5</v>
      </c>
      <c r="G66" t="n">
        <v>3160</v>
      </c>
      <c r="H66">
        <f>F66-C66</f>
        <v/>
      </c>
      <c r="I66">
        <f>AVERAGE(H59:H63)</f>
        <v/>
      </c>
      <c r="J66">
        <f>I66+$F$1</f>
        <v/>
      </c>
      <c r="K66">
        <f>MIN(MAX(J66,-$H$1),$H$1)</f>
        <v/>
      </c>
      <c r="L66">
        <f>AI65</f>
        <v/>
      </c>
      <c r="M66">
        <f>AJ65</f>
        <v/>
      </c>
      <c r="N66">
        <f>AK65</f>
        <v/>
      </c>
      <c r="O66">
        <f>N66+L66*(F66-M66)*$H$2</f>
        <v/>
      </c>
      <c r="P66">
        <f>K66*O66</f>
        <v/>
      </c>
      <c r="Q66">
        <f>F66*$H$2</f>
        <v/>
      </c>
      <c r="R66">
        <f>INT(P66/Q66)</f>
        <v/>
      </c>
      <c r="S66">
        <f>R66-L66</f>
        <v/>
      </c>
      <c r="T66">
        <f>IF(S66&gt;0,"BUY",IF(S66&lt;0,"SELL","HOLD"))</f>
        <v/>
      </c>
      <c r="U66">
        <f>IF(S66=0,0,F66+IF(S66&gt;0,$F$2,-$F$2))</f>
        <v/>
      </c>
      <c r="V66">
        <f>AND(L66=0,S66&lt;&gt;0)</f>
        <v/>
      </c>
      <c r="W66">
        <f>AND(S66&lt;&gt;0,SIGN(L66+S66)=SIGN(L66),ABS(L66+S66)&gt;ABS(L66),L66&lt;&gt;0)</f>
        <v/>
      </c>
      <c r="X66">
        <f>AND(S66&lt;&gt;0,SIGN(L66+S66)=SIGN(L66),ABS(L66+S66)&lt;ABS(L66))</f>
        <v/>
      </c>
      <c r="Y66">
        <f>AND(S66&lt;&gt;0,L66+S66=0)</f>
        <v/>
      </c>
      <c r="Z66">
        <f>AND(S66&lt;&gt;0,SIGN(L66+S66)&lt;&gt;SIGN(L66),L66+S66&lt;&gt;0,L66&lt;&gt;0)</f>
        <v/>
      </c>
      <c r="AA66">
        <f>IF(OR(X66,Y66),ABS(S66),IF(Z66,ABS(L66),0))</f>
        <v/>
      </c>
      <c r="AB66">
        <f>AA66*(U66-M66)*$H$2*IF(L66&lt;0,-1,1)</f>
        <v/>
      </c>
      <c r="AC66">
        <f>IF(W66,ABS(L66)*M66+ABS(S66)*U66,0)</f>
        <v/>
      </c>
      <c r="AD66">
        <f>IF(W66,ABS(L66+S66),0)</f>
        <v/>
      </c>
      <c r="AE66">
        <f>IF(V66,U66,IF(W66,AC66/AD66,IF(OR(X66,Y66),IF(Y66,0,M66),IF(Z66,U66,M66))))</f>
        <v/>
      </c>
      <c r="AF66">
        <f>AB66</f>
        <v/>
      </c>
      <c r="AG66">
        <f>ABS(S66)*$D$2</f>
        <v/>
      </c>
      <c r="AH66">
        <f>AF66-AG66</f>
        <v/>
      </c>
      <c r="AI66">
        <f>L66+S66</f>
        <v/>
      </c>
      <c r="AJ66">
        <f>AE66</f>
        <v/>
      </c>
      <c r="AK66">
        <f>N66+AH66</f>
        <v/>
      </c>
      <c r="AL66">
        <f>AI66*(F66-AJ66)*$H$2</f>
        <v/>
      </c>
      <c r="AM66">
        <f>AK66+AL66</f>
        <v/>
      </c>
      <c r="AN66">
        <f>MAX(AN65,AM66)</f>
        <v/>
      </c>
      <c r="AO66">
        <f>(AN66-AM66)/AN66*100</f>
        <v/>
      </c>
    </row>
    <row r="67">
      <c r="A67" t="n">
        <v>62</v>
      </c>
      <c r="B67" s="4" t="n">
        <v>45923.30208333334</v>
      </c>
      <c r="C67" t="n">
        <v>6810.25</v>
      </c>
      <c r="D67" t="n">
        <v>6811.5</v>
      </c>
      <c r="E67" t="n">
        <v>6808.75</v>
      </c>
      <c r="F67" t="n">
        <v>6809</v>
      </c>
      <c r="G67" t="n">
        <v>2931</v>
      </c>
      <c r="H67">
        <f>F67-C67</f>
        <v/>
      </c>
      <c r="I67">
        <f>AVERAGE(H60:H64)</f>
        <v/>
      </c>
      <c r="J67">
        <f>I67+$F$1</f>
        <v/>
      </c>
      <c r="K67">
        <f>MIN(MAX(J67,-$H$1),$H$1)</f>
        <v/>
      </c>
      <c r="L67">
        <f>AI66</f>
        <v/>
      </c>
      <c r="M67">
        <f>AJ66</f>
        <v/>
      </c>
      <c r="N67">
        <f>AK66</f>
        <v/>
      </c>
      <c r="O67">
        <f>N67+L67*(F67-M67)*$H$2</f>
        <v/>
      </c>
      <c r="P67">
        <f>K67*O67</f>
        <v/>
      </c>
      <c r="Q67">
        <f>F67*$H$2</f>
        <v/>
      </c>
      <c r="R67">
        <f>INT(P67/Q67)</f>
        <v/>
      </c>
      <c r="S67">
        <f>R67-L67</f>
        <v/>
      </c>
      <c r="T67">
        <f>IF(S67&gt;0,"BUY",IF(S67&lt;0,"SELL","HOLD"))</f>
        <v/>
      </c>
      <c r="U67">
        <f>IF(S67=0,0,F67+IF(S67&gt;0,$F$2,-$F$2))</f>
        <v/>
      </c>
      <c r="V67">
        <f>AND(L67=0,S67&lt;&gt;0)</f>
        <v/>
      </c>
      <c r="W67">
        <f>AND(S67&lt;&gt;0,SIGN(L67+S67)=SIGN(L67),ABS(L67+S67)&gt;ABS(L67),L67&lt;&gt;0)</f>
        <v/>
      </c>
      <c r="X67">
        <f>AND(S67&lt;&gt;0,SIGN(L67+S67)=SIGN(L67),ABS(L67+S67)&lt;ABS(L67))</f>
        <v/>
      </c>
      <c r="Y67">
        <f>AND(S67&lt;&gt;0,L67+S67=0)</f>
        <v/>
      </c>
      <c r="Z67">
        <f>AND(S67&lt;&gt;0,SIGN(L67+S67)&lt;&gt;SIGN(L67),L67+S67&lt;&gt;0,L67&lt;&gt;0)</f>
        <v/>
      </c>
      <c r="AA67">
        <f>IF(OR(X67,Y67),ABS(S67),IF(Z67,ABS(L67),0))</f>
        <v/>
      </c>
      <c r="AB67">
        <f>AA67*(U67-M67)*$H$2*IF(L67&lt;0,-1,1)</f>
        <v/>
      </c>
      <c r="AC67">
        <f>IF(W67,ABS(L67)*M67+ABS(S67)*U67,0)</f>
        <v/>
      </c>
      <c r="AD67">
        <f>IF(W67,ABS(L67+S67),0)</f>
        <v/>
      </c>
      <c r="AE67">
        <f>IF(V67,U67,IF(W67,AC67/AD67,IF(OR(X67,Y67),IF(Y67,0,M67),IF(Z67,U67,M67))))</f>
        <v/>
      </c>
      <c r="AF67">
        <f>AB67</f>
        <v/>
      </c>
      <c r="AG67">
        <f>ABS(S67)*$D$2</f>
        <v/>
      </c>
      <c r="AH67">
        <f>AF67-AG67</f>
        <v/>
      </c>
      <c r="AI67">
        <f>L67+S67</f>
        <v/>
      </c>
      <c r="AJ67">
        <f>AE67</f>
        <v/>
      </c>
      <c r="AK67">
        <f>N67+AH67</f>
        <v/>
      </c>
      <c r="AL67">
        <f>AI67*(F67-AJ67)*$H$2</f>
        <v/>
      </c>
      <c r="AM67">
        <f>AK67+AL67</f>
        <v/>
      </c>
      <c r="AN67">
        <f>MAX(AN66,AM67)</f>
        <v/>
      </c>
      <c r="AO67">
        <f>(AN67-AM67)/AN67*100</f>
        <v/>
      </c>
    </row>
    <row r="68">
      <c r="A68" t="n">
        <v>63</v>
      </c>
      <c r="B68" s="4" t="n">
        <v>45924.30208333334</v>
      </c>
      <c r="C68" t="n">
        <v>6785.75</v>
      </c>
      <c r="D68" t="n">
        <v>6785.75</v>
      </c>
      <c r="E68" t="n">
        <v>6782.25</v>
      </c>
      <c r="F68" t="n">
        <v>6783.75</v>
      </c>
      <c r="G68" t="n">
        <v>2834</v>
      </c>
      <c r="H68">
        <f>F68-C68</f>
        <v/>
      </c>
      <c r="I68">
        <f>AVERAGE(H61:H65)</f>
        <v/>
      </c>
      <c r="J68">
        <f>I68+$F$1</f>
        <v/>
      </c>
      <c r="K68">
        <f>MIN(MAX(J68,-$H$1),$H$1)</f>
        <v/>
      </c>
      <c r="L68">
        <f>AI67</f>
        <v/>
      </c>
      <c r="M68">
        <f>AJ67</f>
        <v/>
      </c>
      <c r="N68">
        <f>AK67</f>
        <v/>
      </c>
      <c r="O68">
        <f>N68+L68*(F68-M68)*$H$2</f>
        <v/>
      </c>
      <c r="P68">
        <f>K68*O68</f>
        <v/>
      </c>
      <c r="Q68">
        <f>F68*$H$2</f>
        <v/>
      </c>
      <c r="R68">
        <f>INT(P68/Q68)</f>
        <v/>
      </c>
      <c r="S68">
        <f>R68-L68</f>
        <v/>
      </c>
      <c r="T68">
        <f>IF(S68&gt;0,"BUY",IF(S68&lt;0,"SELL","HOLD"))</f>
        <v/>
      </c>
      <c r="U68">
        <f>IF(S68=0,0,F68+IF(S68&gt;0,$F$2,-$F$2))</f>
        <v/>
      </c>
      <c r="V68">
        <f>AND(L68=0,S68&lt;&gt;0)</f>
        <v/>
      </c>
      <c r="W68">
        <f>AND(S68&lt;&gt;0,SIGN(L68+S68)=SIGN(L68),ABS(L68+S68)&gt;ABS(L68),L68&lt;&gt;0)</f>
        <v/>
      </c>
      <c r="X68">
        <f>AND(S68&lt;&gt;0,SIGN(L68+S68)=SIGN(L68),ABS(L68+S68)&lt;ABS(L68))</f>
        <v/>
      </c>
      <c r="Y68">
        <f>AND(S68&lt;&gt;0,L68+S68=0)</f>
        <v/>
      </c>
      <c r="Z68">
        <f>AND(S68&lt;&gt;0,SIGN(L68+S68)&lt;&gt;SIGN(L68),L68+S68&lt;&gt;0,L68&lt;&gt;0)</f>
        <v/>
      </c>
      <c r="AA68">
        <f>IF(OR(X68,Y68),ABS(S68),IF(Z68,ABS(L68),0))</f>
        <v/>
      </c>
      <c r="AB68">
        <f>AA68*(U68-M68)*$H$2*IF(L68&lt;0,-1,1)</f>
        <v/>
      </c>
      <c r="AC68">
        <f>IF(W68,ABS(L68)*M68+ABS(S68)*U68,0)</f>
        <v/>
      </c>
      <c r="AD68">
        <f>IF(W68,ABS(L68+S68),0)</f>
        <v/>
      </c>
      <c r="AE68">
        <f>IF(V68,U68,IF(W68,AC68/AD68,IF(OR(X68,Y68),IF(Y68,0,M68),IF(Z68,U68,M68))))</f>
        <v/>
      </c>
      <c r="AF68">
        <f>AB68</f>
        <v/>
      </c>
      <c r="AG68">
        <f>ABS(S68)*$D$2</f>
        <v/>
      </c>
      <c r="AH68">
        <f>AF68-AG68</f>
        <v/>
      </c>
      <c r="AI68">
        <f>L68+S68</f>
        <v/>
      </c>
      <c r="AJ68">
        <f>AE68</f>
        <v/>
      </c>
      <c r="AK68">
        <f>N68+AH68</f>
        <v/>
      </c>
      <c r="AL68">
        <f>AI68*(F68-AJ68)*$H$2</f>
        <v/>
      </c>
      <c r="AM68">
        <f>AK68+AL68</f>
        <v/>
      </c>
      <c r="AN68">
        <f>MAX(AN67,AM68)</f>
        <v/>
      </c>
      <c r="AO68">
        <f>(AN68-AM68)/AN68*100</f>
        <v/>
      </c>
    </row>
    <row r="69">
      <c r="A69" t="n">
        <v>64</v>
      </c>
      <c r="B69" s="4" t="n">
        <v>45925.30208333334</v>
      </c>
      <c r="C69" t="n">
        <v>6726.75</v>
      </c>
      <c r="D69" t="n">
        <v>6731.25</v>
      </c>
      <c r="E69" t="n">
        <v>6725.5</v>
      </c>
      <c r="F69" t="n">
        <v>6727.5</v>
      </c>
      <c r="G69" t="n">
        <v>9575</v>
      </c>
      <c r="H69">
        <f>F69-C69</f>
        <v/>
      </c>
      <c r="I69">
        <f>AVERAGE(H62:H66)</f>
        <v/>
      </c>
      <c r="J69">
        <f>I69+$F$1</f>
        <v/>
      </c>
      <c r="K69">
        <f>MIN(MAX(J69,-$H$1),$H$1)</f>
        <v/>
      </c>
      <c r="L69">
        <f>AI68</f>
        <v/>
      </c>
      <c r="M69">
        <f>AJ68</f>
        <v/>
      </c>
      <c r="N69">
        <f>AK68</f>
        <v/>
      </c>
      <c r="O69">
        <f>N69+L69*(F69-M69)*$H$2</f>
        <v/>
      </c>
      <c r="P69">
        <f>K69*O69</f>
        <v/>
      </c>
      <c r="Q69">
        <f>F69*$H$2</f>
        <v/>
      </c>
      <c r="R69">
        <f>INT(P69/Q69)</f>
        <v/>
      </c>
      <c r="S69">
        <f>R69-L69</f>
        <v/>
      </c>
      <c r="T69">
        <f>IF(S69&gt;0,"BUY",IF(S69&lt;0,"SELL","HOLD"))</f>
        <v/>
      </c>
      <c r="U69">
        <f>IF(S69=0,0,F69+IF(S69&gt;0,$F$2,-$F$2))</f>
        <v/>
      </c>
      <c r="V69">
        <f>AND(L69=0,S69&lt;&gt;0)</f>
        <v/>
      </c>
      <c r="W69">
        <f>AND(S69&lt;&gt;0,SIGN(L69+S69)=SIGN(L69),ABS(L69+S69)&gt;ABS(L69),L69&lt;&gt;0)</f>
        <v/>
      </c>
      <c r="X69">
        <f>AND(S69&lt;&gt;0,SIGN(L69+S69)=SIGN(L69),ABS(L69+S69)&lt;ABS(L69))</f>
        <v/>
      </c>
      <c r="Y69">
        <f>AND(S69&lt;&gt;0,L69+S69=0)</f>
        <v/>
      </c>
      <c r="Z69">
        <f>AND(S69&lt;&gt;0,SIGN(L69+S69)&lt;&gt;SIGN(L69),L69+S69&lt;&gt;0,L69&lt;&gt;0)</f>
        <v/>
      </c>
      <c r="AA69">
        <f>IF(OR(X69,Y69),ABS(S69),IF(Z69,ABS(L69),0))</f>
        <v/>
      </c>
      <c r="AB69">
        <f>AA69*(U69-M69)*$H$2*IF(L69&lt;0,-1,1)</f>
        <v/>
      </c>
      <c r="AC69">
        <f>IF(W69,ABS(L69)*M69+ABS(S69)*U69,0)</f>
        <v/>
      </c>
      <c r="AD69">
        <f>IF(W69,ABS(L69+S69),0)</f>
        <v/>
      </c>
      <c r="AE69">
        <f>IF(V69,U69,IF(W69,AC69/AD69,IF(OR(X69,Y69),IF(Y69,0,M69),IF(Z69,U69,M69))))</f>
        <v/>
      </c>
      <c r="AF69">
        <f>AB69</f>
        <v/>
      </c>
      <c r="AG69">
        <f>ABS(S69)*$D$2</f>
        <v/>
      </c>
      <c r="AH69">
        <f>AF69-AG69</f>
        <v/>
      </c>
      <c r="AI69">
        <f>L69+S69</f>
        <v/>
      </c>
      <c r="AJ69">
        <f>AE69</f>
        <v/>
      </c>
      <c r="AK69">
        <f>N69+AH69</f>
        <v/>
      </c>
      <c r="AL69">
        <f>AI69*(F69-AJ69)*$H$2</f>
        <v/>
      </c>
      <c r="AM69">
        <f>AK69+AL69</f>
        <v/>
      </c>
      <c r="AN69">
        <f>MAX(AN68,AM69)</f>
        <v/>
      </c>
      <c r="AO69">
        <f>(AN69-AM69)/AN69*100</f>
        <v/>
      </c>
    </row>
    <row r="70">
      <c r="A70" t="n">
        <v>65</v>
      </c>
      <c r="B70" s="4" t="n">
        <v>45926.30208333334</v>
      </c>
      <c r="C70" t="n">
        <v>6725.5</v>
      </c>
      <c r="D70" t="n">
        <v>6729.5</v>
      </c>
      <c r="E70" t="n">
        <v>6725.25</v>
      </c>
      <c r="F70" t="n">
        <v>6728.25</v>
      </c>
      <c r="G70" t="n">
        <v>4077</v>
      </c>
      <c r="H70">
        <f>F70-C70</f>
        <v/>
      </c>
      <c r="I70">
        <f>AVERAGE(H63:H67)</f>
        <v/>
      </c>
      <c r="J70">
        <f>I70+$F$1</f>
        <v/>
      </c>
      <c r="K70">
        <f>MIN(MAX(J70,-$H$1),$H$1)</f>
        <v/>
      </c>
      <c r="L70">
        <f>AI69</f>
        <v/>
      </c>
      <c r="M70">
        <f>AJ69</f>
        <v/>
      </c>
      <c r="N70">
        <f>AK69</f>
        <v/>
      </c>
      <c r="O70">
        <f>N70+L70*(F70-M70)*$H$2</f>
        <v/>
      </c>
      <c r="P70">
        <f>K70*O70</f>
        <v/>
      </c>
      <c r="Q70">
        <f>F70*$H$2</f>
        <v/>
      </c>
      <c r="R70">
        <f>INT(P70/Q70)</f>
        <v/>
      </c>
      <c r="S70">
        <f>R70-L70</f>
        <v/>
      </c>
      <c r="T70">
        <f>IF(S70&gt;0,"BUY",IF(S70&lt;0,"SELL","HOLD"))</f>
        <v/>
      </c>
      <c r="U70">
        <f>IF(S70=0,0,F70+IF(S70&gt;0,$F$2,-$F$2))</f>
        <v/>
      </c>
      <c r="V70">
        <f>AND(L70=0,S70&lt;&gt;0)</f>
        <v/>
      </c>
      <c r="W70">
        <f>AND(S70&lt;&gt;0,SIGN(L70+S70)=SIGN(L70),ABS(L70+S70)&gt;ABS(L70),L70&lt;&gt;0)</f>
        <v/>
      </c>
      <c r="X70">
        <f>AND(S70&lt;&gt;0,SIGN(L70+S70)=SIGN(L70),ABS(L70+S70)&lt;ABS(L70))</f>
        <v/>
      </c>
      <c r="Y70">
        <f>AND(S70&lt;&gt;0,L70+S70=0)</f>
        <v/>
      </c>
      <c r="Z70">
        <f>AND(S70&lt;&gt;0,SIGN(L70+S70)&lt;&gt;SIGN(L70),L70+S70&lt;&gt;0,L70&lt;&gt;0)</f>
        <v/>
      </c>
      <c r="AA70">
        <f>IF(OR(X70,Y70),ABS(S70),IF(Z70,ABS(L70),0))</f>
        <v/>
      </c>
      <c r="AB70">
        <f>AA70*(U70-M70)*$H$2*IF(L70&lt;0,-1,1)</f>
        <v/>
      </c>
      <c r="AC70">
        <f>IF(W70,ABS(L70)*M70+ABS(S70)*U70,0)</f>
        <v/>
      </c>
      <c r="AD70">
        <f>IF(W70,ABS(L70+S70),0)</f>
        <v/>
      </c>
      <c r="AE70">
        <f>IF(V70,U70,IF(W70,AC70/AD70,IF(OR(X70,Y70),IF(Y70,0,M70),IF(Z70,U70,M70))))</f>
        <v/>
      </c>
      <c r="AF70">
        <f>AB70</f>
        <v/>
      </c>
      <c r="AG70">
        <f>ABS(S70)*$D$2</f>
        <v/>
      </c>
      <c r="AH70">
        <f>AF70-AG70</f>
        <v/>
      </c>
      <c r="AI70">
        <f>L70+S70</f>
        <v/>
      </c>
      <c r="AJ70">
        <f>AE70</f>
        <v/>
      </c>
      <c r="AK70">
        <f>N70+AH70</f>
        <v/>
      </c>
      <c r="AL70">
        <f>AI70*(F70-AJ70)*$H$2</f>
        <v/>
      </c>
      <c r="AM70">
        <f>AK70+AL70</f>
        <v/>
      </c>
      <c r="AN70">
        <f>MAX(AN69,AM70)</f>
        <v/>
      </c>
      <c r="AO70">
        <f>(AN70-AM70)/AN70*100</f>
        <v/>
      </c>
    </row>
    <row r="71">
      <c r="A71" t="n">
        <v>66</v>
      </c>
      <c r="B71" s="4" t="n">
        <v>45929.30208333334</v>
      </c>
      <c r="C71" t="n">
        <v>6787.5</v>
      </c>
      <c r="D71" t="n">
        <v>6788.75</v>
      </c>
      <c r="E71" t="n">
        <v>6786.25</v>
      </c>
      <c r="F71" t="n">
        <v>6787.5</v>
      </c>
      <c r="G71" t="n">
        <v>3823</v>
      </c>
      <c r="H71">
        <f>F71-C71</f>
        <v/>
      </c>
      <c r="I71">
        <f>AVERAGE(H64:H68)</f>
        <v/>
      </c>
      <c r="J71">
        <f>I71+$F$1</f>
        <v/>
      </c>
      <c r="K71">
        <f>MIN(MAX(J71,-$H$1),$H$1)</f>
        <v/>
      </c>
      <c r="L71">
        <f>AI70</f>
        <v/>
      </c>
      <c r="M71">
        <f>AJ70</f>
        <v/>
      </c>
      <c r="N71">
        <f>AK70</f>
        <v/>
      </c>
      <c r="O71">
        <f>N71+L71*(F71-M71)*$H$2</f>
        <v/>
      </c>
      <c r="P71">
        <f>K71*O71</f>
        <v/>
      </c>
      <c r="Q71">
        <f>F71*$H$2</f>
        <v/>
      </c>
      <c r="R71">
        <f>INT(P71/Q71)</f>
        <v/>
      </c>
      <c r="S71">
        <f>R71-L71</f>
        <v/>
      </c>
      <c r="T71">
        <f>IF(S71&gt;0,"BUY",IF(S71&lt;0,"SELL","HOLD"))</f>
        <v/>
      </c>
      <c r="U71">
        <f>IF(S71=0,0,F71+IF(S71&gt;0,$F$2,-$F$2))</f>
        <v/>
      </c>
      <c r="V71">
        <f>AND(L71=0,S71&lt;&gt;0)</f>
        <v/>
      </c>
      <c r="W71">
        <f>AND(S71&lt;&gt;0,SIGN(L71+S71)=SIGN(L71),ABS(L71+S71)&gt;ABS(L71),L71&lt;&gt;0)</f>
        <v/>
      </c>
      <c r="X71">
        <f>AND(S71&lt;&gt;0,SIGN(L71+S71)=SIGN(L71),ABS(L71+S71)&lt;ABS(L71))</f>
        <v/>
      </c>
      <c r="Y71">
        <f>AND(S71&lt;&gt;0,L71+S71=0)</f>
        <v/>
      </c>
      <c r="Z71">
        <f>AND(S71&lt;&gt;0,SIGN(L71+S71)&lt;&gt;SIGN(L71),L71+S71&lt;&gt;0,L71&lt;&gt;0)</f>
        <v/>
      </c>
      <c r="AA71">
        <f>IF(OR(X71,Y71),ABS(S71),IF(Z71,ABS(L71),0))</f>
        <v/>
      </c>
      <c r="AB71">
        <f>AA71*(U71-M71)*$H$2*IF(L71&lt;0,-1,1)</f>
        <v/>
      </c>
      <c r="AC71">
        <f>IF(W71,ABS(L71)*M71+ABS(S71)*U71,0)</f>
        <v/>
      </c>
      <c r="AD71">
        <f>IF(W71,ABS(L71+S71),0)</f>
        <v/>
      </c>
      <c r="AE71">
        <f>IF(V71,U71,IF(W71,AC71/AD71,IF(OR(X71,Y71),IF(Y71,0,M71),IF(Z71,U71,M71))))</f>
        <v/>
      </c>
      <c r="AF71">
        <f>AB71</f>
        <v/>
      </c>
      <c r="AG71">
        <f>ABS(S71)*$D$2</f>
        <v/>
      </c>
      <c r="AH71">
        <f>AF71-AG71</f>
        <v/>
      </c>
      <c r="AI71">
        <f>L71+S71</f>
        <v/>
      </c>
      <c r="AJ71">
        <f>AE71</f>
        <v/>
      </c>
      <c r="AK71">
        <f>N71+AH71</f>
        <v/>
      </c>
      <c r="AL71">
        <f>AI71*(F71-AJ71)*$H$2</f>
        <v/>
      </c>
      <c r="AM71">
        <f>AK71+AL71</f>
        <v/>
      </c>
      <c r="AN71">
        <f>MAX(AN70,AM71)</f>
        <v/>
      </c>
      <c r="AO71">
        <f>(AN71-AM71)/AN71*100</f>
        <v/>
      </c>
    </row>
    <row r="72">
      <c r="A72" t="n">
        <v>67</v>
      </c>
      <c r="B72" s="4" t="n">
        <v>45930.30208333334</v>
      </c>
      <c r="C72" t="n">
        <v>6757.25</v>
      </c>
      <c r="D72" t="n">
        <v>6763.25</v>
      </c>
      <c r="E72" t="n">
        <v>6756.75</v>
      </c>
      <c r="F72" t="n">
        <v>6762.75</v>
      </c>
      <c r="G72" t="n">
        <v>3789</v>
      </c>
      <c r="H72">
        <f>F72-C72</f>
        <v/>
      </c>
      <c r="I72">
        <f>AVERAGE(H65:H69)</f>
        <v/>
      </c>
      <c r="J72">
        <f>I72+$F$1</f>
        <v/>
      </c>
      <c r="K72">
        <f>MIN(MAX(J72,-$H$1),$H$1)</f>
        <v/>
      </c>
      <c r="L72">
        <f>AI71</f>
        <v/>
      </c>
      <c r="M72">
        <f>AJ71</f>
        <v/>
      </c>
      <c r="N72">
        <f>AK71</f>
        <v/>
      </c>
      <c r="O72">
        <f>N72+L72*(F72-M72)*$H$2</f>
        <v/>
      </c>
      <c r="P72">
        <f>K72*O72</f>
        <v/>
      </c>
      <c r="Q72">
        <f>F72*$H$2</f>
        <v/>
      </c>
      <c r="R72">
        <f>INT(P72/Q72)</f>
        <v/>
      </c>
      <c r="S72">
        <f>R72-L72</f>
        <v/>
      </c>
      <c r="T72">
        <f>IF(S72&gt;0,"BUY",IF(S72&lt;0,"SELL","HOLD"))</f>
        <v/>
      </c>
      <c r="U72">
        <f>IF(S72=0,0,F72+IF(S72&gt;0,$F$2,-$F$2))</f>
        <v/>
      </c>
      <c r="V72">
        <f>AND(L72=0,S72&lt;&gt;0)</f>
        <v/>
      </c>
      <c r="W72">
        <f>AND(S72&lt;&gt;0,SIGN(L72+S72)=SIGN(L72),ABS(L72+S72)&gt;ABS(L72),L72&lt;&gt;0)</f>
        <v/>
      </c>
      <c r="X72">
        <f>AND(S72&lt;&gt;0,SIGN(L72+S72)=SIGN(L72),ABS(L72+S72)&lt;ABS(L72))</f>
        <v/>
      </c>
      <c r="Y72">
        <f>AND(S72&lt;&gt;0,L72+S72=0)</f>
        <v/>
      </c>
      <c r="Z72">
        <f>AND(S72&lt;&gt;0,SIGN(L72+S72)&lt;&gt;SIGN(L72),L72+S72&lt;&gt;0,L72&lt;&gt;0)</f>
        <v/>
      </c>
      <c r="AA72">
        <f>IF(OR(X72,Y72),ABS(S72),IF(Z72,ABS(L72),0))</f>
        <v/>
      </c>
      <c r="AB72">
        <f>AA72*(U72-M72)*$H$2*IF(L72&lt;0,-1,1)</f>
        <v/>
      </c>
      <c r="AC72">
        <f>IF(W72,ABS(L72)*M72+ABS(S72)*U72,0)</f>
        <v/>
      </c>
      <c r="AD72">
        <f>IF(W72,ABS(L72+S72),0)</f>
        <v/>
      </c>
      <c r="AE72">
        <f>IF(V72,U72,IF(W72,AC72/AD72,IF(OR(X72,Y72),IF(Y72,0,M72),IF(Z72,U72,M72))))</f>
        <v/>
      </c>
      <c r="AF72">
        <f>AB72</f>
        <v/>
      </c>
      <c r="AG72">
        <f>ABS(S72)*$D$2</f>
        <v/>
      </c>
      <c r="AH72">
        <f>AF72-AG72</f>
        <v/>
      </c>
      <c r="AI72">
        <f>L72+S72</f>
        <v/>
      </c>
      <c r="AJ72">
        <f>AE72</f>
        <v/>
      </c>
      <c r="AK72">
        <f>N72+AH72</f>
        <v/>
      </c>
      <c r="AL72">
        <f>AI72*(F72-AJ72)*$H$2</f>
        <v/>
      </c>
      <c r="AM72">
        <f>AK72+AL72</f>
        <v/>
      </c>
      <c r="AN72">
        <f>MAX(AN71,AM72)</f>
        <v/>
      </c>
      <c r="AO72">
        <f>(AN72-AM72)/AN72*100</f>
        <v/>
      </c>
    </row>
    <row r="73">
      <c r="A73" t="n">
        <v>68</v>
      </c>
      <c r="B73" s="4" t="n">
        <v>45931.30208333334</v>
      </c>
      <c r="C73" t="n">
        <v>6770.5</v>
      </c>
      <c r="D73" t="n">
        <v>6773.25</v>
      </c>
      <c r="E73" t="n">
        <v>6760.5</v>
      </c>
      <c r="F73" t="n">
        <v>6768.75</v>
      </c>
      <c r="G73" t="n">
        <v>19558</v>
      </c>
      <c r="H73">
        <f>F73-C73</f>
        <v/>
      </c>
      <c r="I73">
        <f>AVERAGE(H66:H70)</f>
        <v/>
      </c>
      <c r="J73">
        <f>I73+$F$1</f>
        <v/>
      </c>
      <c r="K73">
        <f>MIN(MAX(J73,-$H$1),$H$1)</f>
        <v/>
      </c>
      <c r="L73">
        <f>AI72</f>
        <v/>
      </c>
      <c r="M73">
        <f>AJ72</f>
        <v/>
      </c>
      <c r="N73">
        <f>AK72</f>
        <v/>
      </c>
      <c r="O73">
        <f>N73+L73*(F73-M73)*$H$2</f>
        <v/>
      </c>
      <c r="P73">
        <f>K73*O73</f>
        <v/>
      </c>
      <c r="Q73">
        <f>F73*$H$2</f>
        <v/>
      </c>
      <c r="R73">
        <f>INT(P73/Q73)</f>
        <v/>
      </c>
      <c r="S73">
        <f>R73-L73</f>
        <v/>
      </c>
      <c r="T73">
        <f>IF(S73&gt;0,"BUY",IF(S73&lt;0,"SELL","HOLD"))</f>
        <v/>
      </c>
      <c r="U73">
        <f>IF(S73=0,0,F73+IF(S73&gt;0,$F$2,-$F$2))</f>
        <v/>
      </c>
      <c r="V73">
        <f>AND(L73=0,S73&lt;&gt;0)</f>
        <v/>
      </c>
      <c r="W73">
        <f>AND(S73&lt;&gt;0,SIGN(L73+S73)=SIGN(L73),ABS(L73+S73)&gt;ABS(L73),L73&lt;&gt;0)</f>
        <v/>
      </c>
      <c r="X73">
        <f>AND(S73&lt;&gt;0,SIGN(L73+S73)=SIGN(L73),ABS(L73+S73)&lt;ABS(L73))</f>
        <v/>
      </c>
      <c r="Y73">
        <f>AND(S73&lt;&gt;0,L73+S73=0)</f>
        <v/>
      </c>
      <c r="Z73">
        <f>AND(S73&lt;&gt;0,SIGN(L73+S73)&lt;&gt;SIGN(L73),L73+S73&lt;&gt;0,L73&lt;&gt;0)</f>
        <v/>
      </c>
      <c r="AA73">
        <f>IF(OR(X73,Y73),ABS(S73),IF(Z73,ABS(L73),0))</f>
        <v/>
      </c>
      <c r="AB73">
        <f>AA73*(U73-M73)*$H$2*IF(L73&lt;0,-1,1)</f>
        <v/>
      </c>
      <c r="AC73">
        <f>IF(W73,ABS(L73)*M73+ABS(S73)*U73,0)</f>
        <v/>
      </c>
      <c r="AD73">
        <f>IF(W73,ABS(L73+S73),0)</f>
        <v/>
      </c>
      <c r="AE73">
        <f>IF(V73,U73,IF(W73,AC73/AD73,IF(OR(X73,Y73),IF(Y73,0,M73),IF(Z73,U73,M73))))</f>
        <v/>
      </c>
      <c r="AF73">
        <f>AB73</f>
        <v/>
      </c>
      <c r="AG73">
        <f>ABS(S73)*$D$2</f>
        <v/>
      </c>
      <c r="AH73">
        <f>AF73-AG73</f>
        <v/>
      </c>
      <c r="AI73">
        <f>L73+S73</f>
        <v/>
      </c>
      <c r="AJ73">
        <f>AE73</f>
        <v/>
      </c>
      <c r="AK73">
        <f>N73+AH73</f>
        <v/>
      </c>
      <c r="AL73">
        <f>AI73*(F73-AJ73)*$H$2</f>
        <v/>
      </c>
      <c r="AM73">
        <f>AK73+AL73</f>
        <v/>
      </c>
      <c r="AN73">
        <f>MAX(AN72,AM73)</f>
        <v/>
      </c>
      <c r="AO73">
        <f>(AN73-AM73)/AN73*100</f>
        <v/>
      </c>
    </row>
    <row r="74">
      <c r="A74" t="n">
        <v>69</v>
      </c>
      <c r="B74" s="4" t="n">
        <v>45932.30208333334</v>
      </c>
      <c r="C74" t="n">
        <v>6838.75</v>
      </c>
      <c r="D74" t="n">
        <v>6840.25</v>
      </c>
      <c r="E74" t="n">
        <v>6837.25</v>
      </c>
      <c r="F74" t="n">
        <v>6838.25</v>
      </c>
      <c r="G74" t="n">
        <v>4646</v>
      </c>
      <c r="H74">
        <f>F74-C74</f>
        <v/>
      </c>
      <c r="I74">
        <f>AVERAGE(H67:H71)</f>
        <v/>
      </c>
      <c r="J74">
        <f>I74+$F$1</f>
        <v/>
      </c>
      <c r="K74">
        <f>MIN(MAX(J74,-$H$1),$H$1)</f>
        <v/>
      </c>
      <c r="L74">
        <f>AI73</f>
        <v/>
      </c>
      <c r="M74">
        <f>AJ73</f>
        <v/>
      </c>
      <c r="N74">
        <f>AK73</f>
        <v/>
      </c>
      <c r="O74">
        <f>N74+L74*(F74-M74)*$H$2</f>
        <v/>
      </c>
      <c r="P74">
        <f>K74*O74</f>
        <v/>
      </c>
      <c r="Q74">
        <f>F74*$H$2</f>
        <v/>
      </c>
      <c r="R74">
        <f>INT(P74/Q74)</f>
        <v/>
      </c>
      <c r="S74">
        <f>R74-L74</f>
        <v/>
      </c>
      <c r="T74">
        <f>IF(S74&gt;0,"BUY",IF(S74&lt;0,"SELL","HOLD"))</f>
        <v/>
      </c>
      <c r="U74">
        <f>IF(S74=0,0,F74+IF(S74&gt;0,$F$2,-$F$2))</f>
        <v/>
      </c>
      <c r="V74">
        <f>AND(L74=0,S74&lt;&gt;0)</f>
        <v/>
      </c>
      <c r="W74">
        <f>AND(S74&lt;&gt;0,SIGN(L74+S74)=SIGN(L74),ABS(L74+S74)&gt;ABS(L74),L74&lt;&gt;0)</f>
        <v/>
      </c>
      <c r="X74">
        <f>AND(S74&lt;&gt;0,SIGN(L74+S74)=SIGN(L74),ABS(L74+S74)&lt;ABS(L74))</f>
        <v/>
      </c>
      <c r="Y74">
        <f>AND(S74&lt;&gt;0,L74+S74=0)</f>
        <v/>
      </c>
      <c r="Z74">
        <f>AND(S74&lt;&gt;0,SIGN(L74+S74)&lt;&gt;SIGN(L74),L74+S74&lt;&gt;0,L74&lt;&gt;0)</f>
        <v/>
      </c>
      <c r="AA74">
        <f>IF(OR(X74,Y74),ABS(S74),IF(Z74,ABS(L74),0))</f>
        <v/>
      </c>
      <c r="AB74">
        <f>AA74*(U74-M74)*$H$2*IF(L74&lt;0,-1,1)</f>
        <v/>
      </c>
      <c r="AC74">
        <f>IF(W74,ABS(L74)*M74+ABS(S74)*U74,0)</f>
        <v/>
      </c>
      <c r="AD74">
        <f>IF(W74,ABS(L74+S74),0)</f>
        <v/>
      </c>
      <c r="AE74">
        <f>IF(V74,U74,IF(W74,AC74/AD74,IF(OR(X74,Y74),IF(Y74,0,M74),IF(Z74,U74,M74))))</f>
        <v/>
      </c>
      <c r="AF74">
        <f>AB74</f>
        <v/>
      </c>
      <c r="AG74">
        <f>ABS(S74)*$D$2</f>
        <v/>
      </c>
      <c r="AH74">
        <f>AF74-AG74</f>
        <v/>
      </c>
      <c r="AI74">
        <f>L74+S74</f>
        <v/>
      </c>
      <c r="AJ74">
        <f>AE74</f>
        <v/>
      </c>
      <c r="AK74">
        <f>N74+AH74</f>
        <v/>
      </c>
      <c r="AL74">
        <f>AI74*(F74-AJ74)*$H$2</f>
        <v/>
      </c>
      <c r="AM74">
        <f>AK74+AL74</f>
        <v/>
      </c>
      <c r="AN74">
        <f>MAX(AN73,AM74)</f>
        <v/>
      </c>
      <c r="AO74">
        <f>(AN74-AM74)/AN74*100</f>
        <v/>
      </c>
    </row>
    <row r="75">
      <c r="A75" t="n">
        <v>70</v>
      </c>
      <c r="B75" s="4" t="n">
        <v>45933.30208333334</v>
      </c>
      <c r="C75" t="n">
        <v>6835</v>
      </c>
      <c r="D75" t="n">
        <v>6835.75</v>
      </c>
      <c r="E75" t="n">
        <v>6831.5</v>
      </c>
      <c r="F75" t="n">
        <v>6833</v>
      </c>
      <c r="G75" t="n">
        <v>2833</v>
      </c>
      <c r="H75">
        <f>F75-C75</f>
        <v/>
      </c>
      <c r="I75">
        <f>AVERAGE(H68:H72)</f>
        <v/>
      </c>
      <c r="J75">
        <f>I75+$F$1</f>
        <v/>
      </c>
      <c r="K75">
        <f>MIN(MAX(J75,-$H$1),$H$1)</f>
        <v/>
      </c>
      <c r="L75">
        <f>AI74</f>
        <v/>
      </c>
      <c r="M75">
        <f>AJ74</f>
        <v/>
      </c>
      <c r="N75">
        <f>AK74</f>
        <v/>
      </c>
      <c r="O75">
        <f>N75+L75*(F75-M75)*$H$2</f>
        <v/>
      </c>
      <c r="P75">
        <f>K75*O75</f>
        <v/>
      </c>
      <c r="Q75">
        <f>F75*$H$2</f>
        <v/>
      </c>
      <c r="R75">
        <f>INT(P75/Q75)</f>
        <v/>
      </c>
      <c r="S75">
        <f>R75-L75</f>
        <v/>
      </c>
      <c r="T75">
        <f>IF(S75&gt;0,"BUY",IF(S75&lt;0,"SELL","HOLD"))</f>
        <v/>
      </c>
      <c r="U75">
        <f>IF(S75=0,0,F75+IF(S75&gt;0,$F$2,-$F$2))</f>
        <v/>
      </c>
      <c r="V75">
        <f>AND(L75=0,S75&lt;&gt;0)</f>
        <v/>
      </c>
      <c r="W75">
        <f>AND(S75&lt;&gt;0,SIGN(L75+S75)=SIGN(L75),ABS(L75+S75)&gt;ABS(L75),L75&lt;&gt;0)</f>
        <v/>
      </c>
      <c r="X75">
        <f>AND(S75&lt;&gt;0,SIGN(L75+S75)=SIGN(L75),ABS(L75+S75)&lt;ABS(L75))</f>
        <v/>
      </c>
      <c r="Y75">
        <f>AND(S75&lt;&gt;0,L75+S75=0)</f>
        <v/>
      </c>
      <c r="Z75">
        <f>AND(S75&lt;&gt;0,SIGN(L75+S75)&lt;&gt;SIGN(L75),L75+S75&lt;&gt;0,L75&lt;&gt;0)</f>
        <v/>
      </c>
      <c r="AA75">
        <f>IF(OR(X75,Y75),ABS(S75),IF(Z75,ABS(L75),0))</f>
        <v/>
      </c>
      <c r="AB75">
        <f>AA75*(U75-M75)*$H$2*IF(L75&lt;0,-1,1)</f>
        <v/>
      </c>
      <c r="AC75">
        <f>IF(W75,ABS(L75)*M75+ABS(S75)*U75,0)</f>
        <v/>
      </c>
      <c r="AD75">
        <f>IF(W75,ABS(L75+S75),0)</f>
        <v/>
      </c>
      <c r="AE75">
        <f>IF(V75,U75,IF(W75,AC75/AD75,IF(OR(X75,Y75),IF(Y75,0,M75),IF(Z75,U75,M75))))</f>
        <v/>
      </c>
      <c r="AF75">
        <f>AB75</f>
        <v/>
      </c>
      <c r="AG75">
        <f>ABS(S75)*$D$2</f>
        <v/>
      </c>
      <c r="AH75">
        <f>AF75-AG75</f>
        <v/>
      </c>
      <c r="AI75">
        <f>L75+S75</f>
        <v/>
      </c>
      <c r="AJ75">
        <f>AE75</f>
        <v/>
      </c>
      <c r="AK75">
        <f>N75+AH75</f>
        <v/>
      </c>
      <c r="AL75">
        <f>AI75*(F75-AJ75)*$H$2</f>
        <v/>
      </c>
      <c r="AM75">
        <f>AK75+AL75</f>
        <v/>
      </c>
      <c r="AN75">
        <f>MAX(AN74,AM75)</f>
        <v/>
      </c>
      <c r="AO75">
        <f>(AN75-AM75)/AN75*100</f>
        <v/>
      </c>
    </row>
    <row r="76">
      <c r="A76" t="n">
        <v>71</v>
      </c>
      <c r="B76" s="4" t="n">
        <v>45936.30208333334</v>
      </c>
      <c r="C76" t="n">
        <v>6851.75</v>
      </c>
      <c r="D76" t="n">
        <v>6852.25</v>
      </c>
      <c r="E76" t="n">
        <v>6847.25</v>
      </c>
      <c r="F76" t="n">
        <v>6848.75</v>
      </c>
      <c r="G76" t="n">
        <v>5384</v>
      </c>
      <c r="H76">
        <f>F76-C76</f>
        <v/>
      </c>
      <c r="I76">
        <f>AVERAGE(H69:H73)</f>
        <v/>
      </c>
      <c r="J76">
        <f>I76+$F$1</f>
        <v/>
      </c>
      <c r="K76">
        <f>MIN(MAX(J76,-$H$1),$H$1)</f>
        <v/>
      </c>
      <c r="L76">
        <f>AI75</f>
        <v/>
      </c>
      <c r="M76">
        <f>AJ75</f>
        <v/>
      </c>
      <c r="N76">
        <f>AK75</f>
        <v/>
      </c>
      <c r="O76">
        <f>N76+L76*(F76-M76)*$H$2</f>
        <v/>
      </c>
      <c r="P76">
        <f>K76*O76</f>
        <v/>
      </c>
      <c r="Q76">
        <f>F76*$H$2</f>
        <v/>
      </c>
      <c r="R76">
        <f>INT(P76/Q76)</f>
        <v/>
      </c>
      <c r="S76">
        <f>R76-L76</f>
        <v/>
      </c>
      <c r="T76">
        <f>IF(S76&gt;0,"BUY",IF(S76&lt;0,"SELL","HOLD"))</f>
        <v/>
      </c>
      <c r="U76">
        <f>IF(S76=0,0,F76+IF(S76&gt;0,$F$2,-$F$2))</f>
        <v/>
      </c>
      <c r="V76">
        <f>AND(L76=0,S76&lt;&gt;0)</f>
        <v/>
      </c>
      <c r="W76">
        <f>AND(S76&lt;&gt;0,SIGN(L76+S76)=SIGN(L76),ABS(L76+S76)&gt;ABS(L76),L76&lt;&gt;0)</f>
        <v/>
      </c>
      <c r="X76">
        <f>AND(S76&lt;&gt;0,SIGN(L76+S76)=SIGN(L76),ABS(L76+S76)&lt;ABS(L76))</f>
        <v/>
      </c>
      <c r="Y76">
        <f>AND(S76&lt;&gt;0,L76+S76=0)</f>
        <v/>
      </c>
      <c r="Z76">
        <f>AND(S76&lt;&gt;0,SIGN(L76+S76)&lt;&gt;SIGN(L76),L76+S76&lt;&gt;0,L76&lt;&gt;0)</f>
        <v/>
      </c>
      <c r="AA76">
        <f>IF(OR(X76,Y76),ABS(S76),IF(Z76,ABS(L76),0))</f>
        <v/>
      </c>
      <c r="AB76">
        <f>AA76*(U76-M76)*$H$2*IF(L76&lt;0,-1,1)</f>
        <v/>
      </c>
      <c r="AC76">
        <f>IF(W76,ABS(L76)*M76+ABS(S76)*U76,0)</f>
        <v/>
      </c>
      <c r="AD76">
        <f>IF(W76,ABS(L76+S76),0)</f>
        <v/>
      </c>
      <c r="AE76">
        <f>IF(V76,U76,IF(W76,AC76/AD76,IF(OR(X76,Y76),IF(Y76,0,M76),IF(Z76,U76,M76))))</f>
        <v/>
      </c>
      <c r="AF76">
        <f>AB76</f>
        <v/>
      </c>
      <c r="AG76">
        <f>ABS(S76)*$D$2</f>
        <v/>
      </c>
      <c r="AH76">
        <f>AF76-AG76</f>
        <v/>
      </c>
      <c r="AI76">
        <f>L76+S76</f>
        <v/>
      </c>
      <c r="AJ76">
        <f>AE76</f>
        <v/>
      </c>
      <c r="AK76">
        <f>N76+AH76</f>
        <v/>
      </c>
      <c r="AL76">
        <f>AI76*(F76-AJ76)*$H$2</f>
        <v/>
      </c>
      <c r="AM76">
        <f>AK76+AL76</f>
        <v/>
      </c>
      <c r="AN76">
        <f>MAX(AN75,AM76)</f>
        <v/>
      </c>
      <c r="AO76">
        <f>(AN76-AM76)/AN76*100</f>
        <v/>
      </c>
    </row>
    <row r="77">
      <c r="A77" t="n">
        <v>72</v>
      </c>
      <c r="B77" s="4" t="n">
        <v>45937.30208333334</v>
      </c>
      <c r="C77" t="n">
        <v>6848.75</v>
      </c>
      <c r="D77" t="n">
        <v>6850.75</v>
      </c>
      <c r="E77" t="n">
        <v>6848.5</v>
      </c>
      <c r="F77" t="n">
        <v>6850.75</v>
      </c>
      <c r="G77" t="n">
        <v>3139</v>
      </c>
      <c r="H77">
        <f>F77-C77</f>
        <v/>
      </c>
      <c r="I77">
        <f>AVERAGE(H70:H74)</f>
        <v/>
      </c>
      <c r="J77">
        <f>I77+$F$1</f>
        <v/>
      </c>
      <c r="K77">
        <f>MIN(MAX(J77,-$H$1),$H$1)</f>
        <v/>
      </c>
      <c r="L77">
        <f>AI76</f>
        <v/>
      </c>
      <c r="M77">
        <f>AJ76</f>
        <v/>
      </c>
      <c r="N77">
        <f>AK76</f>
        <v/>
      </c>
      <c r="O77">
        <f>N77+L77*(F77-M77)*$H$2</f>
        <v/>
      </c>
      <c r="P77">
        <f>K77*O77</f>
        <v/>
      </c>
      <c r="Q77">
        <f>F77*$H$2</f>
        <v/>
      </c>
      <c r="R77">
        <f>INT(P77/Q77)</f>
        <v/>
      </c>
      <c r="S77">
        <f>R77-L77</f>
        <v/>
      </c>
      <c r="T77">
        <f>IF(S77&gt;0,"BUY",IF(S77&lt;0,"SELL","HOLD"))</f>
        <v/>
      </c>
      <c r="U77">
        <f>IF(S77=0,0,F77+IF(S77&gt;0,$F$2,-$F$2))</f>
        <v/>
      </c>
      <c r="V77">
        <f>AND(L77=0,S77&lt;&gt;0)</f>
        <v/>
      </c>
      <c r="W77">
        <f>AND(S77&lt;&gt;0,SIGN(L77+S77)=SIGN(L77),ABS(L77+S77)&gt;ABS(L77),L77&lt;&gt;0)</f>
        <v/>
      </c>
      <c r="X77">
        <f>AND(S77&lt;&gt;0,SIGN(L77+S77)=SIGN(L77),ABS(L77+S77)&lt;ABS(L77))</f>
        <v/>
      </c>
      <c r="Y77">
        <f>AND(S77&lt;&gt;0,L77+S77=0)</f>
        <v/>
      </c>
      <c r="Z77">
        <f>AND(S77&lt;&gt;0,SIGN(L77+S77)&lt;&gt;SIGN(L77),L77+S77&lt;&gt;0,L77&lt;&gt;0)</f>
        <v/>
      </c>
      <c r="AA77">
        <f>IF(OR(X77,Y77),ABS(S77),IF(Z77,ABS(L77),0))</f>
        <v/>
      </c>
      <c r="AB77">
        <f>AA77*(U77-M77)*$H$2*IF(L77&lt;0,-1,1)</f>
        <v/>
      </c>
      <c r="AC77">
        <f>IF(W77,ABS(L77)*M77+ABS(S77)*U77,0)</f>
        <v/>
      </c>
      <c r="AD77">
        <f>IF(W77,ABS(L77+S77),0)</f>
        <v/>
      </c>
      <c r="AE77">
        <f>IF(V77,U77,IF(W77,AC77/AD77,IF(OR(X77,Y77),IF(Y77,0,M77),IF(Z77,U77,M77))))</f>
        <v/>
      </c>
      <c r="AF77">
        <f>AB77</f>
        <v/>
      </c>
      <c r="AG77">
        <f>ABS(S77)*$D$2</f>
        <v/>
      </c>
      <c r="AH77">
        <f>AF77-AG77</f>
        <v/>
      </c>
      <c r="AI77">
        <f>L77+S77</f>
        <v/>
      </c>
      <c r="AJ77">
        <f>AE77</f>
        <v/>
      </c>
      <c r="AK77">
        <f>N77+AH77</f>
        <v/>
      </c>
      <c r="AL77">
        <f>AI77*(F77-AJ77)*$H$2</f>
        <v/>
      </c>
      <c r="AM77">
        <f>AK77+AL77</f>
        <v/>
      </c>
      <c r="AN77">
        <f>MAX(AN76,AM77)</f>
        <v/>
      </c>
      <c r="AO77">
        <f>(AN77-AM77)/AN77*100</f>
        <v/>
      </c>
    </row>
    <row r="78">
      <c r="A78" t="n">
        <v>73</v>
      </c>
      <c r="B78" s="4" t="n">
        <v>45938.30208333334</v>
      </c>
      <c r="C78" t="n">
        <v>6826</v>
      </c>
      <c r="D78" t="n">
        <v>6829.75</v>
      </c>
      <c r="E78" t="n">
        <v>6825</v>
      </c>
      <c r="F78" t="n">
        <v>6829</v>
      </c>
      <c r="G78" t="n">
        <v>4543</v>
      </c>
      <c r="H78">
        <f>F78-C78</f>
        <v/>
      </c>
      <c r="I78">
        <f>AVERAGE(H71:H75)</f>
        <v/>
      </c>
      <c r="J78">
        <f>I78+$F$1</f>
        <v/>
      </c>
      <c r="K78">
        <f>MIN(MAX(J78,-$H$1),$H$1)</f>
        <v/>
      </c>
      <c r="L78">
        <f>AI77</f>
        <v/>
      </c>
      <c r="M78">
        <f>AJ77</f>
        <v/>
      </c>
      <c r="N78">
        <f>AK77</f>
        <v/>
      </c>
      <c r="O78">
        <f>N78+L78*(F78-M78)*$H$2</f>
        <v/>
      </c>
      <c r="P78">
        <f>K78*O78</f>
        <v/>
      </c>
      <c r="Q78">
        <f>F78*$H$2</f>
        <v/>
      </c>
      <c r="R78">
        <f>INT(P78/Q78)</f>
        <v/>
      </c>
      <c r="S78">
        <f>R78-L78</f>
        <v/>
      </c>
      <c r="T78">
        <f>IF(S78&gt;0,"BUY",IF(S78&lt;0,"SELL","HOLD"))</f>
        <v/>
      </c>
      <c r="U78">
        <f>IF(S78=0,0,F78+IF(S78&gt;0,$F$2,-$F$2))</f>
        <v/>
      </c>
      <c r="V78">
        <f>AND(L78=0,S78&lt;&gt;0)</f>
        <v/>
      </c>
      <c r="W78">
        <f>AND(S78&lt;&gt;0,SIGN(L78+S78)=SIGN(L78),ABS(L78+S78)&gt;ABS(L78),L78&lt;&gt;0)</f>
        <v/>
      </c>
      <c r="X78">
        <f>AND(S78&lt;&gt;0,SIGN(L78+S78)=SIGN(L78),ABS(L78+S78)&lt;ABS(L78))</f>
        <v/>
      </c>
      <c r="Y78">
        <f>AND(S78&lt;&gt;0,L78+S78=0)</f>
        <v/>
      </c>
      <c r="Z78">
        <f>AND(S78&lt;&gt;0,SIGN(L78+S78)&lt;&gt;SIGN(L78),L78+S78&lt;&gt;0,L78&lt;&gt;0)</f>
        <v/>
      </c>
      <c r="AA78">
        <f>IF(OR(X78,Y78),ABS(S78),IF(Z78,ABS(L78),0))</f>
        <v/>
      </c>
      <c r="AB78">
        <f>AA78*(U78-M78)*$H$2*IF(L78&lt;0,-1,1)</f>
        <v/>
      </c>
      <c r="AC78">
        <f>IF(W78,ABS(L78)*M78+ABS(S78)*U78,0)</f>
        <v/>
      </c>
      <c r="AD78">
        <f>IF(W78,ABS(L78+S78),0)</f>
        <v/>
      </c>
      <c r="AE78">
        <f>IF(V78,U78,IF(W78,AC78/AD78,IF(OR(X78,Y78),IF(Y78,0,M78),IF(Z78,U78,M78))))</f>
        <v/>
      </c>
      <c r="AF78">
        <f>AB78</f>
        <v/>
      </c>
      <c r="AG78">
        <f>ABS(S78)*$D$2</f>
        <v/>
      </c>
      <c r="AH78">
        <f>AF78-AG78</f>
        <v/>
      </c>
      <c r="AI78">
        <f>L78+S78</f>
        <v/>
      </c>
      <c r="AJ78">
        <f>AE78</f>
        <v/>
      </c>
      <c r="AK78">
        <f>N78+AH78</f>
        <v/>
      </c>
      <c r="AL78">
        <f>AI78*(F78-AJ78)*$H$2</f>
        <v/>
      </c>
      <c r="AM78">
        <f>AK78+AL78</f>
        <v/>
      </c>
      <c r="AN78">
        <f>MAX(AN77,AM78)</f>
        <v/>
      </c>
      <c r="AO78">
        <f>(AN78-AM78)/AN78*100</f>
        <v/>
      </c>
    </row>
    <row r="79">
      <c r="A79" t="n">
        <v>74</v>
      </c>
      <c r="B79" s="4" t="n">
        <v>45939.30208333334</v>
      </c>
      <c r="C79" t="n">
        <v>6860</v>
      </c>
      <c r="D79" t="n">
        <v>6863</v>
      </c>
      <c r="E79" t="n">
        <v>6859.75</v>
      </c>
      <c r="F79" t="n">
        <v>6862.75</v>
      </c>
      <c r="G79" t="n">
        <v>3073</v>
      </c>
      <c r="H79">
        <f>F79-C79</f>
        <v/>
      </c>
      <c r="I79">
        <f>AVERAGE(H72:H76)</f>
        <v/>
      </c>
      <c r="J79">
        <f>I79+$F$1</f>
        <v/>
      </c>
      <c r="K79">
        <f>MIN(MAX(J79,-$H$1),$H$1)</f>
        <v/>
      </c>
      <c r="L79">
        <f>AI78</f>
        <v/>
      </c>
      <c r="M79">
        <f>AJ78</f>
        <v/>
      </c>
      <c r="N79">
        <f>AK78</f>
        <v/>
      </c>
      <c r="O79">
        <f>N79+L79*(F79-M79)*$H$2</f>
        <v/>
      </c>
      <c r="P79">
        <f>K79*O79</f>
        <v/>
      </c>
      <c r="Q79">
        <f>F79*$H$2</f>
        <v/>
      </c>
      <c r="R79">
        <f>INT(P79/Q79)</f>
        <v/>
      </c>
      <c r="S79">
        <f>R79-L79</f>
        <v/>
      </c>
      <c r="T79">
        <f>IF(S79&gt;0,"BUY",IF(S79&lt;0,"SELL","HOLD"))</f>
        <v/>
      </c>
      <c r="U79">
        <f>IF(S79=0,0,F79+IF(S79&gt;0,$F$2,-$F$2))</f>
        <v/>
      </c>
      <c r="V79">
        <f>AND(L79=0,S79&lt;&gt;0)</f>
        <v/>
      </c>
      <c r="W79">
        <f>AND(S79&lt;&gt;0,SIGN(L79+S79)=SIGN(L79),ABS(L79+S79)&gt;ABS(L79),L79&lt;&gt;0)</f>
        <v/>
      </c>
      <c r="X79">
        <f>AND(S79&lt;&gt;0,SIGN(L79+S79)=SIGN(L79),ABS(L79+S79)&lt;ABS(L79))</f>
        <v/>
      </c>
      <c r="Y79">
        <f>AND(S79&lt;&gt;0,L79+S79=0)</f>
        <v/>
      </c>
      <c r="Z79">
        <f>AND(S79&lt;&gt;0,SIGN(L79+S79)&lt;&gt;SIGN(L79),L79+S79&lt;&gt;0,L79&lt;&gt;0)</f>
        <v/>
      </c>
      <c r="AA79">
        <f>IF(OR(X79,Y79),ABS(S79),IF(Z79,ABS(L79),0))</f>
        <v/>
      </c>
      <c r="AB79">
        <f>AA79*(U79-M79)*$H$2*IF(L79&lt;0,-1,1)</f>
        <v/>
      </c>
      <c r="AC79">
        <f>IF(W79,ABS(L79)*M79+ABS(S79)*U79,0)</f>
        <v/>
      </c>
      <c r="AD79">
        <f>IF(W79,ABS(L79+S79),0)</f>
        <v/>
      </c>
      <c r="AE79">
        <f>IF(V79,U79,IF(W79,AC79/AD79,IF(OR(X79,Y79),IF(Y79,0,M79),IF(Z79,U79,M79))))</f>
        <v/>
      </c>
      <c r="AF79">
        <f>AB79</f>
        <v/>
      </c>
      <c r="AG79">
        <f>ABS(S79)*$D$2</f>
        <v/>
      </c>
      <c r="AH79">
        <f>AF79-AG79</f>
        <v/>
      </c>
      <c r="AI79">
        <f>L79+S79</f>
        <v/>
      </c>
      <c r="AJ79">
        <f>AE79</f>
        <v/>
      </c>
      <c r="AK79">
        <f>N79+AH79</f>
        <v/>
      </c>
      <c r="AL79">
        <f>AI79*(F79-AJ79)*$H$2</f>
        <v/>
      </c>
      <c r="AM79">
        <f>AK79+AL79</f>
        <v/>
      </c>
      <c r="AN79">
        <f>MAX(AN78,AM79)</f>
        <v/>
      </c>
      <c r="AO79">
        <f>(AN79-AM79)/AN79*100</f>
        <v/>
      </c>
    </row>
    <row r="80">
      <c r="A80" t="n">
        <v>75</v>
      </c>
      <c r="B80" s="4" t="n">
        <v>45940.30208333334</v>
      </c>
      <c r="C80" t="n">
        <v>6848.75</v>
      </c>
      <c r="D80" t="n">
        <v>6849.25</v>
      </c>
      <c r="E80" t="n">
        <v>6846.5</v>
      </c>
      <c r="F80" t="n">
        <v>6846.75</v>
      </c>
      <c r="G80" t="n">
        <v>4365</v>
      </c>
      <c r="H80">
        <f>F80-C80</f>
        <v/>
      </c>
      <c r="I80">
        <f>AVERAGE(H73:H77)</f>
        <v/>
      </c>
      <c r="J80">
        <f>I80+$F$1</f>
        <v/>
      </c>
      <c r="K80">
        <f>MIN(MAX(J80,-$H$1),$H$1)</f>
        <v/>
      </c>
      <c r="L80">
        <f>AI79</f>
        <v/>
      </c>
      <c r="M80">
        <f>AJ79</f>
        <v/>
      </c>
      <c r="N80">
        <f>AK79</f>
        <v/>
      </c>
      <c r="O80">
        <f>N80+L80*(F80-M80)*$H$2</f>
        <v/>
      </c>
      <c r="P80">
        <f>K80*O80</f>
        <v/>
      </c>
      <c r="Q80">
        <f>F80*$H$2</f>
        <v/>
      </c>
      <c r="R80">
        <f>INT(P80/Q80)</f>
        <v/>
      </c>
      <c r="S80">
        <f>R80-L80</f>
        <v/>
      </c>
      <c r="T80">
        <f>IF(S80&gt;0,"BUY",IF(S80&lt;0,"SELL","HOLD"))</f>
        <v/>
      </c>
      <c r="U80">
        <f>IF(S80=0,0,F80+IF(S80&gt;0,$F$2,-$F$2))</f>
        <v/>
      </c>
      <c r="V80">
        <f>AND(L80=0,S80&lt;&gt;0)</f>
        <v/>
      </c>
      <c r="W80">
        <f>AND(S80&lt;&gt;0,SIGN(L80+S80)=SIGN(L80),ABS(L80+S80)&gt;ABS(L80),L80&lt;&gt;0)</f>
        <v/>
      </c>
      <c r="X80">
        <f>AND(S80&lt;&gt;0,SIGN(L80+S80)=SIGN(L80),ABS(L80+S80)&lt;ABS(L80))</f>
        <v/>
      </c>
      <c r="Y80">
        <f>AND(S80&lt;&gt;0,L80+S80=0)</f>
        <v/>
      </c>
      <c r="Z80">
        <f>AND(S80&lt;&gt;0,SIGN(L80+S80)&lt;&gt;SIGN(L80),L80+S80&lt;&gt;0,L80&lt;&gt;0)</f>
        <v/>
      </c>
      <c r="AA80">
        <f>IF(OR(X80,Y80),ABS(S80),IF(Z80,ABS(L80),0))</f>
        <v/>
      </c>
      <c r="AB80">
        <f>AA80*(U80-M80)*$H$2*IF(L80&lt;0,-1,1)</f>
        <v/>
      </c>
      <c r="AC80">
        <f>IF(W80,ABS(L80)*M80+ABS(S80)*U80,0)</f>
        <v/>
      </c>
      <c r="AD80">
        <f>IF(W80,ABS(L80+S80),0)</f>
        <v/>
      </c>
      <c r="AE80">
        <f>IF(V80,U80,IF(W80,AC80/AD80,IF(OR(X80,Y80),IF(Y80,0,M80),IF(Z80,U80,M80))))</f>
        <v/>
      </c>
      <c r="AF80">
        <f>AB80</f>
        <v/>
      </c>
      <c r="AG80">
        <f>ABS(S80)*$D$2</f>
        <v/>
      </c>
      <c r="AH80">
        <f>AF80-AG80</f>
        <v/>
      </c>
      <c r="AI80">
        <f>L80+S80</f>
        <v/>
      </c>
      <c r="AJ80">
        <f>AE80</f>
        <v/>
      </c>
      <c r="AK80">
        <f>N80+AH80</f>
        <v/>
      </c>
      <c r="AL80">
        <f>AI80*(F80-AJ80)*$H$2</f>
        <v/>
      </c>
      <c r="AM80">
        <f>AK80+AL80</f>
        <v/>
      </c>
      <c r="AN80">
        <f>MAX(AN79,AM80)</f>
        <v/>
      </c>
      <c r="AO80">
        <f>(AN80-AM80)/AN80*100</f>
        <v/>
      </c>
    </row>
    <row r="81">
      <c r="A81" t="n">
        <v>76</v>
      </c>
      <c r="B81" s="4" t="n">
        <v>45943.30208333334</v>
      </c>
      <c r="C81" t="n">
        <v>6728</v>
      </c>
      <c r="D81" t="n">
        <v>6730.75</v>
      </c>
      <c r="E81" t="n">
        <v>6722.5</v>
      </c>
      <c r="F81" t="n">
        <v>6726.75</v>
      </c>
      <c r="G81" t="n">
        <v>10623</v>
      </c>
      <c r="H81">
        <f>F81-C81</f>
        <v/>
      </c>
      <c r="I81">
        <f>AVERAGE(H74:H78)</f>
        <v/>
      </c>
      <c r="J81">
        <f>I81+$F$1</f>
        <v/>
      </c>
      <c r="K81">
        <f>MIN(MAX(J81,-$H$1),$H$1)</f>
        <v/>
      </c>
      <c r="L81">
        <f>AI80</f>
        <v/>
      </c>
      <c r="M81">
        <f>AJ80</f>
        <v/>
      </c>
      <c r="N81">
        <f>AK80</f>
        <v/>
      </c>
      <c r="O81">
        <f>N81+L81*(F81-M81)*$H$2</f>
        <v/>
      </c>
      <c r="P81">
        <f>K81*O81</f>
        <v/>
      </c>
      <c r="Q81">
        <f>F81*$H$2</f>
        <v/>
      </c>
      <c r="R81">
        <f>INT(P81/Q81)</f>
        <v/>
      </c>
      <c r="S81">
        <f>R81-L81</f>
        <v/>
      </c>
      <c r="T81">
        <f>IF(S81&gt;0,"BUY",IF(S81&lt;0,"SELL","HOLD"))</f>
        <v/>
      </c>
      <c r="U81">
        <f>IF(S81=0,0,F81+IF(S81&gt;0,$F$2,-$F$2))</f>
        <v/>
      </c>
      <c r="V81">
        <f>AND(L81=0,S81&lt;&gt;0)</f>
        <v/>
      </c>
      <c r="W81">
        <f>AND(S81&lt;&gt;0,SIGN(L81+S81)=SIGN(L81),ABS(L81+S81)&gt;ABS(L81),L81&lt;&gt;0)</f>
        <v/>
      </c>
      <c r="X81">
        <f>AND(S81&lt;&gt;0,SIGN(L81+S81)=SIGN(L81),ABS(L81+S81)&lt;ABS(L81))</f>
        <v/>
      </c>
      <c r="Y81">
        <f>AND(S81&lt;&gt;0,L81+S81=0)</f>
        <v/>
      </c>
      <c r="Z81">
        <f>AND(S81&lt;&gt;0,SIGN(L81+S81)&lt;&gt;SIGN(L81),L81+S81&lt;&gt;0,L81&lt;&gt;0)</f>
        <v/>
      </c>
      <c r="AA81">
        <f>IF(OR(X81,Y81),ABS(S81),IF(Z81,ABS(L81),0))</f>
        <v/>
      </c>
      <c r="AB81">
        <f>AA81*(U81-M81)*$H$2*IF(L81&lt;0,-1,1)</f>
        <v/>
      </c>
      <c r="AC81">
        <f>IF(W81,ABS(L81)*M81+ABS(S81)*U81,0)</f>
        <v/>
      </c>
      <c r="AD81">
        <f>IF(W81,ABS(L81+S81),0)</f>
        <v/>
      </c>
      <c r="AE81">
        <f>IF(V81,U81,IF(W81,AC81/AD81,IF(OR(X81,Y81),IF(Y81,0,M81),IF(Z81,U81,M81))))</f>
        <v/>
      </c>
      <c r="AF81">
        <f>AB81</f>
        <v/>
      </c>
      <c r="AG81">
        <f>ABS(S81)*$D$2</f>
        <v/>
      </c>
      <c r="AH81">
        <f>AF81-AG81</f>
        <v/>
      </c>
      <c r="AI81">
        <f>L81+S81</f>
        <v/>
      </c>
      <c r="AJ81">
        <f>AE81</f>
        <v/>
      </c>
      <c r="AK81">
        <f>N81+AH81</f>
        <v/>
      </c>
      <c r="AL81">
        <f>AI81*(F81-AJ81)*$H$2</f>
        <v/>
      </c>
      <c r="AM81">
        <f>AK81+AL81</f>
        <v/>
      </c>
      <c r="AN81">
        <f>MAX(AN80,AM81)</f>
        <v/>
      </c>
      <c r="AO81">
        <f>(AN81-AM81)/AN81*100</f>
        <v/>
      </c>
    </row>
    <row r="82">
      <c r="A82" t="n">
        <v>77</v>
      </c>
      <c r="B82" s="4" t="n">
        <v>45944.30208333334</v>
      </c>
      <c r="C82" t="n">
        <v>6696.5</v>
      </c>
      <c r="D82" t="n">
        <v>6697.25</v>
      </c>
      <c r="E82" t="n">
        <v>6690.25</v>
      </c>
      <c r="F82" t="n">
        <v>6695</v>
      </c>
      <c r="G82" t="n">
        <v>7651</v>
      </c>
      <c r="H82">
        <f>F82-C82</f>
        <v/>
      </c>
      <c r="I82">
        <f>AVERAGE(H75:H79)</f>
        <v/>
      </c>
      <c r="J82">
        <f>I82+$F$1</f>
        <v/>
      </c>
      <c r="K82">
        <f>MIN(MAX(J82,-$H$1),$H$1)</f>
        <v/>
      </c>
      <c r="L82">
        <f>AI81</f>
        <v/>
      </c>
      <c r="M82">
        <f>AJ81</f>
        <v/>
      </c>
      <c r="N82">
        <f>AK81</f>
        <v/>
      </c>
      <c r="O82">
        <f>N82+L82*(F82-M82)*$H$2</f>
        <v/>
      </c>
      <c r="P82">
        <f>K82*O82</f>
        <v/>
      </c>
      <c r="Q82">
        <f>F82*$H$2</f>
        <v/>
      </c>
      <c r="R82">
        <f>INT(P82/Q82)</f>
        <v/>
      </c>
      <c r="S82">
        <f>R82-L82</f>
        <v/>
      </c>
      <c r="T82">
        <f>IF(S82&gt;0,"BUY",IF(S82&lt;0,"SELL","HOLD"))</f>
        <v/>
      </c>
      <c r="U82">
        <f>IF(S82=0,0,F82+IF(S82&gt;0,$F$2,-$F$2))</f>
        <v/>
      </c>
      <c r="V82">
        <f>AND(L82=0,S82&lt;&gt;0)</f>
        <v/>
      </c>
      <c r="W82">
        <f>AND(S82&lt;&gt;0,SIGN(L82+S82)=SIGN(L82),ABS(L82+S82)&gt;ABS(L82),L82&lt;&gt;0)</f>
        <v/>
      </c>
      <c r="X82">
        <f>AND(S82&lt;&gt;0,SIGN(L82+S82)=SIGN(L82),ABS(L82+S82)&lt;ABS(L82))</f>
        <v/>
      </c>
      <c r="Y82">
        <f>AND(S82&lt;&gt;0,L82+S82=0)</f>
        <v/>
      </c>
      <c r="Z82">
        <f>AND(S82&lt;&gt;0,SIGN(L82+S82)&lt;&gt;SIGN(L82),L82+S82&lt;&gt;0,L82&lt;&gt;0)</f>
        <v/>
      </c>
      <c r="AA82">
        <f>IF(OR(X82,Y82),ABS(S82),IF(Z82,ABS(L82),0))</f>
        <v/>
      </c>
      <c r="AB82">
        <f>AA82*(U82-M82)*$H$2*IF(L82&lt;0,-1,1)</f>
        <v/>
      </c>
      <c r="AC82">
        <f>IF(W82,ABS(L82)*M82+ABS(S82)*U82,0)</f>
        <v/>
      </c>
      <c r="AD82">
        <f>IF(W82,ABS(L82+S82),0)</f>
        <v/>
      </c>
      <c r="AE82">
        <f>IF(V82,U82,IF(W82,AC82/AD82,IF(OR(X82,Y82),IF(Y82,0,M82),IF(Z82,U82,M82))))</f>
        <v/>
      </c>
      <c r="AF82">
        <f>AB82</f>
        <v/>
      </c>
      <c r="AG82">
        <f>ABS(S82)*$D$2</f>
        <v/>
      </c>
      <c r="AH82">
        <f>AF82-AG82</f>
        <v/>
      </c>
      <c r="AI82">
        <f>L82+S82</f>
        <v/>
      </c>
      <c r="AJ82">
        <f>AE82</f>
        <v/>
      </c>
      <c r="AK82">
        <f>N82+AH82</f>
        <v/>
      </c>
      <c r="AL82">
        <f>AI82*(F82-AJ82)*$H$2</f>
        <v/>
      </c>
      <c r="AM82">
        <f>AK82+AL82</f>
        <v/>
      </c>
      <c r="AN82">
        <f>MAX(AN81,AM82)</f>
        <v/>
      </c>
      <c r="AO82">
        <f>(AN82-AM82)/AN82*100</f>
        <v/>
      </c>
    </row>
    <row r="83">
      <c r="A83" t="n">
        <v>78</v>
      </c>
      <c r="B83" s="4" t="n">
        <v>45945.30208333334</v>
      </c>
      <c r="C83" t="n">
        <v>6797.5</v>
      </c>
      <c r="D83" t="n">
        <v>6800</v>
      </c>
      <c r="E83" t="n">
        <v>6791.75</v>
      </c>
      <c r="F83" t="n">
        <v>6794.75</v>
      </c>
      <c r="G83" t="n">
        <v>11958</v>
      </c>
      <c r="H83">
        <f>F83-C83</f>
        <v/>
      </c>
      <c r="I83">
        <f>AVERAGE(H76:H80)</f>
        <v/>
      </c>
      <c r="J83">
        <f>I83+$F$1</f>
        <v/>
      </c>
      <c r="K83">
        <f>MIN(MAX(J83,-$H$1),$H$1)</f>
        <v/>
      </c>
      <c r="L83">
        <f>AI82</f>
        <v/>
      </c>
      <c r="M83">
        <f>AJ82</f>
        <v/>
      </c>
      <c r="N83">
        <f>AK82</f>
        <v/>
      </c>
      <c r="O83">
        <f>N83+L83*(F83-M83)*$H$2</f>
        <v/>
      </c>
      <c r="P83">
        <f>K83*O83</f>
        <v/>
      </c>
      <c r="Q83">
        <f>F83*$H$2</f>
        <v/>
      </c>
      <c r="R83">
        <f>INT(P83/Q83)</f>
        <v/>
      </c>
      <c r="S83">
        <f>R83-L83</f>
        <v/>
      </c>
      <c r="T83">
        <f>IF(S83&gt;0,"BUY",IF(S83&lt;0,"SELL","HOLD"))</f>
        <v/>
      </c>
      <c r="U83">
        <f>IF(S83=0,0,F83+IF(S83&gt;0,$F$2,-$F$2))</f>
        <v/>
      </c>
      <c r="V83">
        <f>AND(L83=0,S83&lt;&gt;0)</f>
        <v/>
      </c>
      <c r="W83">
        <f>AND(S83&lt;&gt;0,SIGN(L83+S83)=SIGN(L83),ABS(L83+S83)&gt;ABS(L83),L83&lt;&gt;0)</f>
        <v/>
      </c>
      <c r="X83">
        <f>AND(S83&lt;&gt;0,SIGN(L83+S83)=SIGN(L83),ABS(L83+S83)&lt;ABS(L83))</f>
        <v/>
      </c>
      <c r="Y83">
        <f>AND(S83&lt;&gt;0,L83+S83=0)</f>
        <v/>
      </c>
      <c r="Z83">
        <f>AND(S83&lt;&gt;0,SIGN(L83+S83)&lt;&gt;SIGN(L83),L83+S83&lt;&gt;0,L83&lt;&gt;0)</f>
        <v/>
      </c>
      <c r="AA83">
        <f>IF(OR(X83,Y83),ABS(S83),IF(Z83,ABS(L83),0))</f>
        <v/>
      </c>
      <c r="AB83">
        <f>AA83*(U83-M83)*$H$2*IF(L83&lt;0,-1,1)</f>
        <v/>
      </c>
      <c r="AC83">
        <f>IF(W83,ABS(L83)*M83+ABS(S83)*U83,0)</f>
        <v/>
      </c>
      <c r="AD83">
        <f>IF(W83,ABS(L83+S83),0)</f>
        <v/>
      </c>
      <c r="AE83">
        <f>IF(V83,U83,IF(W83,AC83/AD83,IF(OR(X83,Y83),IF(Y83,0,M83),IF(Z83,U83,M83))))</f>
        <v/>
      </c>
      <c r="AF83">
        <f>AB83</f>
        <v/>
      </c>
      <c r="AG83">
        <f>ABS(S83)*$D$2</f>
        <v/>
      </c>
      <c r="AH83">
        <f>AF83-AG83</f>
        <v/>
      </c>
      <c r="AI83">
        <f>L83+S83</f>
        <v/>
      </c>
      <c r="AJ83">
        <f>AE83</f>
        <v/>
      </c>
      <c r="AK83">
        <f>N83+AH83</f>
        <v/>
      </c>
      <c r="AL83">
        <f>AI83*(F83-AJ83)*$H$2</f>
        <v/>
      </c>
      <c r="AM83">
        <f>AK83+AL83</f>
        <v/>
      </c>
      <c r="AN83">
        <f>MAX(AN82,AM83)</f>
        <v/>
      </c>
      <c r="AO83">
        <f>(AN83-AM83)/AN83*100</f>
        <v/>
      </c>
    </row>
    <row r="84">
      <c r="A84" t="n">
        <v>79</v>
      </c>
      <c r="B84" s="4" t="n">
        <v>45946.30208333334</v>
      </c>
      <c r="C84" t="n">
        <v>6791.5</v>
      </c>
      <c r="D84" t="n">
        <v>6796</v>
      </c>
      <c r="E84" t="n">
        <v>6791.25</v>
      </c>
      <c r="F84" t="n">
        <v>6795</v>
      </c>
      <c r="G84" t="n">
        <v>6319</v>
      </c>
      <c r="H84">
        <f>F84-C84</f>
        <v/>
      </c>
      <c r="I84">
        <f>AVERAGE(H77:H81)</f>
        <v/>
      </c>
      <c r="J84">
        <f>I84+$F$1</f>
        <v/>
      </c>
      <c r="K84">
        <f>MIN(MAX(J84,-$H$1),$H$1)</f>
        <v/>
      </c>
      <c r="L84">
        <f>AI83</f>
        <v/>
      </c>
      <c r="M84">
        <f>AJ83</f>
        <v/>
      </c>
      <c r="N84">
        <f>AK83</f>
        <v/>
      </c>
      <c r="O84">
        <f>N84+L84*(F84-M84)*$H$2</f>
        <v/>
      </c>
      <c r="P84">
        <f>K84*O84</f>
        <v/>
      </c>
      <c r="Q84">
        <f>F84*$H$2</f>
        <v/>
      </c>
      <c r="R84">
        <f>INT(P84/Q84)</f>
        <v/>
      </c>
      <c r="S84">
        <f>R84-L84</f>
        <v/>
      </c>
      <c r="T84">
        <f>IF(S84&gt;0,"BUY",IF(S84&lt;0,"SELL","HOLD"))</f>
        <v/>
      </c>
      <c r="U84">
        <f>IF(S84=0,0,F84+IF(S84&gt;0,$F$2,-$F$2))</f>
        <v/>
      </c>
      <c r="V84">
        <f>AND(L84=0,S84&lt;&gt;0)</f>
        <v/>
      </c>
      <c r="W84">
        <f>AND(S84&lt;&gt;0,SIGN(L84+S84)=SIGN(L84),ABS(L84+S84)&gt;ABS(L84),L84&lt;&gt;0)</f>
        <v/>
      </c>
      <c r="X84">
        <f>AND(S84&lt;&gt;0,SIGN(L84+S84)=SIGN(L84),ABS(L84+S84)&lt;ABS(L84))</f>
        <v/>
      </c>
      <c r="Y84">
        <f>AND(S84&lt;&gt;0,L84+S84=0)</f>
        <v/>
      </c>
      <c r="Z84">
        <f>AND(S84&lt;&gt;0,SIGN(L84+S84)&lt;&gt;SIGN(L84),L84+S84&lt;&gt;0,L84&lt;&gt;0)</f>
        <v/>
      </c>
      <c r="AA84">
        <f>IF(OR(X84,Y84),ABS(S84),IF(Z84,ABS(L84),0))</f>
        <v/>
      </c>
      <c r="AB84">
        <f>AA84*(U84-M84)*$H$2*IF(L84&lt;0,-1,1)</f>
        <v/>
      </c>
      <c r="AC84">
        <f>IF(W84,ABS(L84)*M84+ABS(S84)*U84,0)</f>
        <v/>
      </c>
      <c r="AD84">
        <f>IF(W84,ABS(L84+S84),0)</f>
        <v/>
      </c>
      <c r="AE84">
        <f>IF(V84,U84,IF(W84,AC84/AD84,IF(OR(X84,Y84),IF(Y84,0,M84),IF(Z84,U84,M84))))</f>
        <v/>
      </c>
      <c r="AF84">
        <f>AB84</f>
        <v/>
      </c>
      <c r="AG84">
        <f>ABS(S84)*$D$2</f>
        <v/>
      </c>
      <c r="AH84">
        <f>AF84-AG84</f>
        <v/>
      </c>
      <c r="AI84">
        <f>L84+S84</f>
        <v/>
      </c>
      <c r="AJ84">
        <f>AE84</f>
        <v/>
      </c>
      <c r="AK84">
        <f>N84+AH84</f>
        <v/>
      </c>
      <c r="AL84">
        <f>AI84*(F84-AJ84)*$H$2</f>
        <v/>
      </c>
      <c r="AM84">
        <f>AK84+AL84</f>
        <v/>
      </c>
      <c r="AN84">
        <f>MAX(AN83,AM84)</f>
        <v/>
      </c>
      <c r="AO84">
        <f>(AN84-AM84)/AN84*100</f>
        <v/>
      </c>
    </row>
    <row r="85">
      <c r="A85" t="n">
        <v>80</v>
      </c>
      <c r="B85" s="4" t="n">
        <v>45947.30208333334</v>
      </c>
      <c r="C85" t="n">
        <v>6718.75</v>
      </c>
      <c r="D85" t="n">
        <v>6730</v>
      </c>
      <c r="E85" t="n">
        <v>6716.5</v>
      </c>
      <c r="F85" t="n">
        <v>6723.75</v>
      </c>
      <c r="G85" t="n">
        <v>18723</v>
      </c>
      <c r="H85">
        <f>F85-C85</f>
        <v/>
      </c>
      <c r="I85">
        <f>AVERAGE(H78:H82)</f>
        <v/>
      </c>
      <c r="J85">
        <f>I85+$F$1</f>
        <v/>
      </c>
      <c r="K85">
        <f>MIN(MAX(J85,-$H$1),$H$1)</f>
        <v/>
      </c>
      <c r="L85">
        <f>AI84</f>
        <v/>
      </c>
      <c r="M85">
        <f>AJ84</f>
        <v/>
      </c>
      <c r="N85">
        <f>AK84</f>
        <v/>
      </c>
      <c r="O85">
        <f>N85+L85*(F85-M85)*$H$2</f>
        <v/>
      </c>
      <c r="P85">
        <f>K85*O85</f>
        <v/>
      </c>
      <c r="Q85">
        <f>F85*$H$2</f>
        <v/>
      </c>
      <c r="R85">
        <f>INT(P85/Q85)</f>
        <v/>
      </c>
      <c r="S85">
        <f>R85-L85</f>
        <v/>
      </c>
      <c r="T85">
        <f>IF(S85&gt;0,"BUY",IF(S85&lt;0,"SELL","HOLD"))</f>
        <v/>
      </c>
      <c r="U85">
        <f>IF(S85=0,0,F85+IF(S85&gt;0,$F$2,-$F$2))</f>
        <v/>
      </c>
      <c r="V85">
        <f>AND(L85=0,S85&lt;&gt;0)</f>
        <v/>
      </c>
      <c r="W85">
        <f>AND(S85&lt;&gt;0,SIGN(L85+S85)=SIGN(L85),ABS(L85+S85)&gt;ABS(L85),L85&lt;&gt;0)</f>
        <v/>
      </c>
      <c r="X85">
        <f>AND(S85&lt;&gt;0,SIGN(L85+S85)=SIGN(L85),ABS(L85+S85)&lt;ABS(L85))</f>
        <v/>
      </c>
      <c r="Y85">
        <f>AND(S85&lt;&gt;0,L85+S85=0)</f>
        <v/>
      </c>
      <c r="Z85">
        <f>AND(S85&lt;&gt;0,SIGN(L85+S85)&lt;&gt;SIGN(L85),L85+S85&lt;&gt;0,L85&lt;&gt;0)</f>
        <v/>
      </c>
      <c r="AA85">
        <f>IF(OR(X85,Y85),ABS(S85),IF(Z85,ABS(L85),0))</f>
        <v/>
      </c>
      <c r="AB85">
        <f>AA85*(U85-M85)*$H$2*IF(L85&lt;0,-1,1)</f>
        <v/>
      </c>
      <c r="AC85">
        <f>IF(W85,ABS(L85)*M85+ABS(S85)*U85,0)</f>
        <v/>
      </c>
      <c r="AD85">
        <f>IF(W85,ABS(L85+S85),0)</f>
        <v/>
      </c>
      <c r="AE85">
        <f>IF(V85,U85,IF(W85,AC85/AD85,IF(OR(X85,Y85),IF(Y85,0,M85),IF(Z85,U85,M85))))</f>
        <v/>
      </c>
      <c r="AF85">
        <f>AB85</f>
        <v/>
      </c>
      <c r="AG85">
        <f>ABS(S85)*$D$2</f>
        <v/>
      </c>
      <c r="AH85">
        <f>AF85-AG85</f>
        <v/>
      </c>
      <c r="AI85">
        <f>L85+S85</f>
        <v/>
      </c>
      <c r="AJ85">
        <f>AE85</f>
        <v/>
      </c>
      <c r="AK85">
        <f>N85+AH85</f>
        <v/>
      </c>
      <c r="AL85">
        <f>AI85*(F85-AJ85)*$H$2</f>
        <v/>
      </c>
      <c r="AM85">
        <f>AK85+AL85</f>
        <v/>
      </c>
      <c r="AN85">
        <f>MAX(AN84,AM85)</f>
        <v/>
      </c>
      <c r="AO85">
        <f>(AN85-AM85)/AN85*100</f>
        <v/>
      </c>
    </row>
    <row r="86">
      <c r="A86" t="n">
        <v>81</v>
      </c>
      <c r="B86" s="4" t="n">
        <v>45950.30208333334</v>
      </c>
      <c r="C86" t="n">
        <v>6782.25</v>
      </c>
      <c r="D86" t="n">
        <v>6784.25</v>
      </c>
      <c r="E86" t="n">
        <v>6780</v>
      </c>
      <c r="F86" t="n">
        <v>6782.25</v>
      </c>
      <c r="G86" t="n">
        <v>4693</v>
      </c>
      <c r="H86">
        <f>F86-C86</f>
        <v/>
      </c>
      <c r="I86">
        <f>AVERAGE(H79:H83)</f>
        <v/>
      </c>
      <c r="J86">
        <f>I86+$F$1</f>
        <v/>
      </c>
      <c r="K86">
        <f>MIN(MAX(J86,-$H$1),$H$1)</f>
        <v/>
      </c>
      <c r="L86">
        <f>AI85</f>
        <v/>
      </c>
      <c r="M86">
        <f>AJ85</f>
        <v/>
      </c>
      <c r="N86">
        <f>AK85</f>
        <v/>
      </c>
      <c r="O86">
        <f>N86+L86*(F86-M86)*$H$2</f>
        <v/>
      </c>
      <c r="P86">
        <f>K86*O86</f>
        <v/>
      </c>
      <c r="Q86">
        <f>F86*$H$2</f>
        <v/>
      </c>
      <c r="R86">
        <f>INT(P86/Q86)</f>
        <v/>
      </c>
      <c r="S86">
        <f>R86-L86</f>
        <v/>
      </c>
      <c r="T86">
        <f>IF(S86&gt;0,"BUY",IF(S86&lt;0,"SELL","HOLD"))</f>
        <v/>
      </c>
      <c r="U86">
        <f>IF(S86=0,0,F86+IF(S86&gt;0,$F$2,-$F$2))</f>
        <v/>
      </c>
      <c r="V86">
        <f>AND(L86=0,S86&lt;&gt;0)</f>
        <v/>
      </c>
      <c r="W86">
        <f>AND(S86&lt;&gt;0,SIGN(L86+S86)=SIGN(L86),ABS(L86+S86)&gt;ABS(L86),L86&lt;&gt;0)</f>
        <v/>
      </c>
      <c r="X86">
        <f>AND(S86&lt;&gt;0,SIGN(L86+S86)=SIGN(L86),ABS(L86+S86)&lt;ABS(L86))</f>
        <v/>
      </c>
      <c r="Y86">
        <f>AND(S86&lt;&gt;0,L86+S86=0)</f>
        <v/>
      </c>
      <c r="Z86">
        <f>AND(S86&lt;&gt;0,SIGN(L86+S86)&lt;&gt;SIGN(L86),L86+S86&lt;&gt;0,L86&lt;&gt;0)</f>
        <v/>
      </c>
      <c r="AA86">
        <f>IF(OR(X86,Y86),ABS(S86),IF(Z86,ABS(L86),0))</f>
        <v/>
      </c>
      <c r="AB86">
        <f>AA86*(U86-M86)*$H$2*IF(L86&lt;0,-1,1)</f>
        <v/>
      </c>
      <c r="AC86">
        <f>IF(W86,ABS(L86)*M86+ABS(S86)*U86,0)</f>
        <v/>
      </c>
      <c r="AD86">
        <f>IF(W86,ABS(L86+S86),0)</f>
        <v/>
      </c>
      <c r="AE86">
        <f>IF(V86,U86,IF(W86,AC86/AD86,IF(OR(X86,Y86),IF(Y86,0,M86),IF(Z86,U86,M86))))</f>
        <v/>
      </c>
      <c r="AF86">
        <f>AB86</f>
        <v/>
      </c>
      <c r="AG86">
        <f>ABS(S86)*$D$2</f>
        <v/>
      </c>
      <c r="AH86">
        <f>AF86-AG86</f>
        <v/>
      </c>
      <c r="AI86">
        <f>L86+S86</f>
        <v/>
      </c>
      <c r="AJ86">
        <f>AE86</f>
        <v/>
      </c>
      <c r="AK86">
        <f>N86+AH86</f>
        <v/>
      </c>
      <c r="AL86">
        <f>AI86*(F86-AJ86)*$H$2</f>
        <v/>
      </c>
      <c r="AM86">
        <f>AK86+AL86</f>
        <v/>
      </c>
      <c r="AN86">
        <f>MAX(AN85,AM86)</f>
        <v/>
      </c>
      <c r="AO86">
        <f>(AN86-AM86)/AN86*100</f>
        <v/>
      </c>
    </row>
    <row r="87">
      <c r="A87" t="n">
        <v>82</v>
      </c>
      <c r="B87" s="4" t="n">
        <v>45951.30208333334</v>
      </c>
      <c r="C87" t="n">
        <v>6835</v>
      </c>
      <c r="D87" t="n">
        <v>6837</v>
      </c>
      <c r="E87" t="n">
        <v>6834.25</v>
      </c>
      <c r="F87" t="n">
        <v>6836</v>
      </c>
      <c r="G87" t="n">
        <v>2949</v>
      </c>
      <c r="H87">
        <f>F87-C87</f>
        <v/>
      </c>
      <c r="I87">
        <f>AVERAGE(H80:H84)</f>
        <v/>
      </c>
      <c r="J87">
        <f>I87+$F$1</f>
        <v/>
      </c>
      <c r="K87">
        <f>MIN(MAX(J87,-$H$1),$H$1)</f>
        <v/>
      </c>
      <c r="L87">
        <f>AI86</f>
        <v/>
      </c>
      <c r="M87">
        <f>AJ86</f>
        <v/>
      </c>
      <c r="N87">
        <f>AK86</f>
        <v/>
      </c>
      <c r="O87">
        <f>N87+L87*(F87-M87)*$H$2</f>
        <v/>
      </c>
      <c r="P87">
        <f>K87*O87</f>
        <v/>
      </c>
      <c r="Q87">
        <f>F87*$H$2</f>
        <v/>
      </c>
      <c r="R87">
        <f>INT(P87/Q87)</f>
        <v/>
      </c>
      <c r="S87">
        <f>R87-L87</f>
        <v/>
      </c>
      <c r="T87">
        <f>IF(S87&gt;0,"BUY",IF(S87&lt;0,"SELL","HOLD"))</f>
        <v/>
      </c>
      <c r="U87">
        <f>IF(S87=0,0,F87+IF(S87&gt;0,$F$2,-$F$2))</f>
        <v/>
      </c>
      <c r="V87">
        <f>AND(L87=0,S87&lt;&gt;0)</f>
        <v/>
      </c>
      <c r="W87">
        <f>AND(S87&lt;&gt;0,SIGN(L87+S87)=SIGN(L87),ABS(L87+S87)&gt;ABS(L87),L87&lt;&gt;0)</f>
        <v/>
      </c>
      <c r="X87">
        <f>AND(S87&lt;&gt;0,SIGN(L87+S87)=SIGN(L87),ABS(L87+S87)&lt;ABS(L87))</f>
        <v/>
      </c>
      <c r="Y87">
        <f>AND(S87&lt;&gt;0,L87+S87=0)</f>
        <v/>
      </c>
      <c r="Z87">
        <f>AND(S87&lt;&gt;0,SIGN(L87+S87)&lt;&gt;SIGN(L87),L87+S87&lt;&gt;0,L87&lt;&gt;0)</f>
        <v/>
      </c>
      <c r="AA87">
        <f>IF(OR(X87,Y87),ABS(S87),IF(Z87,ABS(L87),0))</f>
        <v/>
      </c>
      <c r="AB87">
        <f>AA87*(U87-M87)*$H$2*IF(L87&lt;0,-1,1)</f>
        <v/>
      </c>
      <c r="AC87">
        <f>IF(W87,ABS(L87)*M87+ABS(S87)*U87,0)</f>
        <v/>
      </c>
      <c r="AD87">
        <f>IF(W87,ABS(L87+S87),0)</f>
        <v/>
      </c>
      <c r="AE87">
        <f>IF(V87,U87,IF(W87,AC87/AD87,IF(OR(X87,Y87),IF(Y87,0,M87),IF(Z87,U87,M87))))</f>
        <v/>
      </c>
      <c r="AF87">
        <f>AB87</f>
        <v/>
      </c>
      <c r="AG87">
        <f>ABS(S87)*$D$2</f>
        <v/>
      </c>
      <c r="AH87">
        <f>AF87-AG87</f>
        <v/>
      </c>
      <c r="AI87">
        <f>L87+S87</f>
        <v/>
      </c>
      <c r="AJ87">
        <f>AE87</f>
        <v/>
      </c>
      <c r="AK87">
        <f>N87+AH87</f>
        <v/>
      </c>
      <c r="AL87">
        <f>AI87*(F87-AJ87)*$H$2</f>
        <v/>
      </c>
      <c r="AM87">
        <f>AK87+AL87</f>
        <v/>
      </c>
      <c r="AN87">
        <f>MAX(AN86,AM87)</f>
        <v/>
      </c>
      <c r="AO87">
        <f>(AN87-AM87)/AN87*100</f>
        <v/>
      </c>
    </row>
    <row r="88">
      <c r="A88" t="n">
        <v>83</v>
      </c>
      <c r="B88" s="4" t="n">
        <v>45952.30208333334</v>
      </c>
      <c r="C88" t="n">
        <v>6836.5</v>
      </c>
      <c r="D88" t="n">
        <v>6838.25</v>
      </c>
      <c r="E88" t="n">
        <v>6834</v>
      </c>
      <c r="F88" t="n">
        <v>6835.75</v>
      </c>
      <c r="G88" t="n">
        <v>4554</v>
      </c>
      <c r="H88">
        <f>F88-C88</f>
        <v/>
      </c>
      <c r="I88">
        <f>AVERAGE(H81:H85)</f>
        <v/>
      </c>
      <c r="J88">
        <f>I88+$F$1</f>
        <v/>
      </c>
      <c r="K88">
        <f>MIN(MAX(J88,-$H$1),$H$1)</f>
        <v/>
      </c>
      <c r="L88">
        <f>AI87</f>
        <v/>
      </c>
      <c r="M88">
        <f>AJ87</f>
        <v/>
      </c>
      <c r="N88">
        <f>AK87</f>
        <v/>
      </c>
      <c r="O88">
        <f>N88+L88*(F88-M88)*$H$2</f>
        <v/>
      </c>
      <c r="P88">
        <f>K88*O88</f>
        <v/>
      </c>
      <c r="Q88">
        <f>F88*$H$2</f>
        <v/>
      </c>
      <c r="R88">
        <f>INT(P88/Q88)</f>
        <v/>
      </c>
      <c r="S88">
        <f>R88-L88</f>
        <v/>
      </c>
      <c r="T88">
        <f>IF(S88&gt;0,"BUY",IF(S88&lt;0,"SELL","HOLD"))</f>
        <v/>
      </c>
      <c r="U88">
        <f>IF(S88=0,0,F88+IF(S88&gt;0,$F$2,-$F$2))</f>
        <v/>
      </c>
      <c r="V88">
        <f>AND(L88=0,S88&lt;&gt;0)</f>
        <v/>
      </c>
      <c r="W88">
        <f>AND(S88&lt;&gt;0,SIGN(L88+S88)=SIGN(L88),ABS(L88+S88)&gt;ABS(L88),L88&lt;&gt;0)</f>
        <v/>
      </c>
      <c r="X88">
        <f>AND(S88&lt;&gt;0,SIGN(L88+S88)=SIGN(L88),ABS(L88+S88)&lt;ABS(L88))</f>
        <v/>
      </c>
      <c r="Y88">
        <f>AND(S88&lt;&gt;0,L88+S88=0)</f>
        <v/>
      </c>
      <c r="Z88">
        <f>AND(S88&lt;&gt;0,SIGN(L88+S88)&lt;&gt;SIGN(L88),L88+S88&lt;&gt;0,L88&lt;&gt;0)</f>
        <v/>
      </c>
      <c r="AA88">
        <f>IF(OR(X88,Y88),ABS(S88),IF(Z88,ABS(L88),0))</f>
        <v/>
      </c>
      <c r="AB88">
        <f>AA88*(U88-M88)*$H$2*IF(L88&lt;0,-1,1)</f>
        <v/>
      </c>
      <c r="AC88">
        <f>IF(W88,ABS(L88)*M88+ABS(S88)*U88,0)</f>
        <v/>
      </c>
      <c r="AD88">
        <f>IF(W88,ABS(L88+S88),0)</f>
        <v/>
      </c>
      <c r="AE88">
        <f>IF(V88,U88,IF(W88,AC88/AD88,IF(OR(X88,Y88),IF(Y88,0,M88),IF(Z88,U88,M88))))</f>
        <v/>
      </c>
      <c r="AF88">
        <f>AB88</f>
        <v/>
      </c>
      <c r="AG88">
        <f>ABS(S88)*$D$2</f>
        <v/>
      </c>
      <c r="AH88">
        <f>AF88-AG88</f>
        <v/>
      </c>
      <c r="AI88">
        <f>L88+S88</f>
        <v/>
      </c>
      <c r="AJ88">
        <f>AE88</f>
        <v/>
      </c>
      <c r="AK88">
        <f>N88+AH88</f>
        <v/>
      </c>
      <c r="AL88">
        <f>AI88*(F88-AJ88)*$H$2</f>
        <v/>
      </c>
      <c r="AM88">
        <f>AK88+AL88</f>
        <v/>
      </c>
      <c r="AN88">
        <f>MAX(AN87,AM88)</f>
        <v/>
      </c>
      <c r="AO88">
        <f>(AN88-AM88)/AN88*100</f>
        <v/>
      </c>
    </row>
    <row r="89">
      <c r="A89" t="n">
        <v>84</v>
      </c>
      <c r="B89" s="4" t="n">
        <v>45953.30208333334</v>
      </c>
      <c r="C89" t="n">
        <v>6783</v>
      </c>
      <c r="D89" t="n">
        <v>6787</v>
      </c>
      <c r="E89" t="n">
        <v>6779.25</v>
      </c>
      <c r="F89" t="n">
        <v>6786.25</v>
      </c>
      <c r="G89" t="n">
        <v>6959</v>
      </c>
      <c r="H89">
        <f>F89-C89</f>
        <v/>
      </c>
      <c r="I89">
        <f>AVERAGE(H82:H86)</f>
        <v/>
      </c>
      <c r="J89">
        <f>I89+$F$1</f>
        <v/>
      </c>
      <c r="K89">
        <f>MIN(MAX(J89,-$H$1),$H$1)</f>
        <v/>
      </c>
      <c r="L89">
        <f>AI88</f>
        <v/>
      </c>
      <c r="M89">
        <f>AJ88</f>
        <v/>
      </c>
      <c r="N89">
        <f>AK88</f>
        <v/>
      </c>
      <c r="O89">
        <f>N89+L89*(F89-M89)*$H$2</f>
        <v/>
      </c>
      <c r="P89">
        <f>K89*O89</f>
        <v/>
      </c>
      <c r="Q89">
        <f>F89*$H$2</f>
        <v/>
      </c>
      <c r="R89">
        <f>INT(P89/Q89)</f>
        <v/>
      </c>
      <c r="S89">
        <f>R89-L89</f>
        <v/>
      </c>
      <c r="T89">
        <f>IF(S89&gt;0,"BUY",IF(S89&lt;0,"SELL","HOLD"))</f>
        <v/>
      </c>
      <c r="U89">
        <f>IF(S89=0,0,F89+IF(S89&gt;0,$F$2,-$F$2))</f>
        <v/>
      </c>
      <c r="V89">
        <f>AND(L89=0,S89&lt;&gt;0)</f>
        <v/>
      </c>
      <c r="W89">
        <f>AND(S89&lt;&gt;0,SIGN(L89+S89)=SIGN(L89),ABS(L89+S89)&gt;ABS(L89),L89&lt;&gt;0)</f>
        <v/>
      </c>
      <c r="X89">
        <f>AND(S89&lt;&gt;0,SIGN(L89+S89)=SIGN(L89),ABS(L89+S89)&lt;ABS(L89))</f>
        <v/>
      </c>
      <c r="Y89">
        <f>AND(S89&lt;&gt;0,L89+S89=0)</f>
        <v/>
      </c>
      <c r="Z89">
        <f>AND(S89&lt;&gt;0,SIGN(L89+S89)&lt;&gt;SIGN(L89),L89+S89&lt;&gt;0,L89&lt;&gt;0)</f>
        <v/>
      </c>
      <c r="AA89">
        <f>IF(OR(X89,Y89),ABS(S89),IF(Z89,ABS(L89),0))</f>
        <v/>
      </c>
      <c r="AB89">
        <f>AA89*(U89-M89)*$H$2*IF(L89&lt;0,-1,1)</f>
        <v/>
      </c>
      <c r="AC89">
        <f>IF(W89,ABS(L89)*M89+ABS(S89)*U89,0)</f>
        <v/>
      </c>
      <c r="AD89">
        <f>IF(W89,ABS(L89+S89),0)</f>
        <v/>
      </c>
      <c r="AE89">
        <f>IF(V89,U89,IF(W89,AC89/AD89,IF(OR(X89,Y89),IF(Y89,0,M89),IF(Z89,U89,M89))))</f>
        <v/>
      </c>
      <c r="AF89">
        <f>AB89</f>
        <v/>
      </c>
      <c r="AG89">
        <f>ABS(S89)*$D$2</f>
        <v/>
      </c>
      <c r="AH89">
        <f>AF89-AG89</f>
        <v/>
      </c>
      <c r="AI89">
        <f>L89+S89</f>
        <v/>
      </c>
      <c r="AJ89">
        <f>AE89</f>
        <v/>
      </c>
      <c r="AK89">
        <f>N89+AH89</f>
        <v/>
      </c>
      <c r="AL89">
        <f>AI89*(F89-AJ89)*$H$2</f>
        <v/>
      </c>
      <c r="AM89">
        <f>AK89+AL89</f>
        <v/>
      </c>
      <c r="AN89">
        <f>MAX(AN88,AM89)</f>
        <v/>
      </c>
      <c r="AO89">
        <f>(AN89-AM89)/AN89*100</f>
        <v/>
      </c>
    </row>
    <row r="90">
      <c r="A90" t="n">
        <v>85</v>
      </c>
      <c r="B90" s="4" t="n">
        <v>45954.30208333334</v>
      </c>
      <c r="C90" t="n">
        <v>6856.25</v>
      </c>
      <c r="D90" t="n">
        <v>6857.25</v>
      </c>
      <c r="E90" t="n">
        <v>6853.25</v>
      </c>
      <c r="F90" t="n">
        <v>6855</v>
      </c>
      <c r="G90" t="n">
        <v>7025</v>
      </c>
      <c r="H90">
        <f>F90-C90</f>
        <v/>
      </c>
      <c r="I90">
        <f>AVERAGE(H83:H87)</f>
        <v/>
      </c>
      <c r="J90">
        <f>I90+$F$1</f>
        <v/>
      </c>
      <c r="K90">
        <f>MIN(MAX(J90,-$H$1),$H$1)</f>
        <v/>
      </c>
      <c r="L90">
        <f>AI89</f>
        <v/>
      </c>
      <c r="M90">
        <f>AJ89</f>
        <v/>
      </c>
      <c r="N90">
        <f>AK89</f>
        <v/>
      </c>
      <c r="O90">
        <f>N90+L90*(F90-M90)*$H$2</f>
        <v/>
      </c>
      <c r="P90">
        <f>K90*O90</f>
        <v/>
      </c>
      <c r="Q90">
        <f>F90*$H$2</f>
        <v/>
      </c>
      <c r="R90">
        <f>INT(P90/Q90)</f>
        <v/>
      </c>
      <c r="S90">
        <f>R90-L90</f>
        <v/>
      </c>
      <c r="T90">
        <f>IF(S90&gt;0,"BUY",IF(S90&lt;0,"SELL","HOLD"))</f>
        <v/>
      </c>
      <c r="U90">
        <f>IF(S90=0,0,F90+IF(S90&gt;0,$F$2,-$F$2))</f>
        <v/>
      </c>
      <c r="V90">
        <f>AND(L90=0,S90&lt;&gt;0)</f>
        <v/>
      </c>
      <c r="W90">
        <f>AND(S90&lt;&gt;0,SIGN(L90+S90)=SIGN(L90),ABS(L90+S90)&gt;ABS(L90),L90&lt;&gt;0)</f>
        <v/>
      </c>
      <c r="X90">
        <f>AND(S90&lt;&gt;0,SIGN(L90+S90)=SIGN(L90),ABS(L90+S90)&lt;ABS(L90))</f>
        <v/>
      </c>
      <c r="Y90">
        <f>AND(S90&lt;&gt;0,L90+S90=0)</f>
        <v/>
      </c>
      <c r="Z90">
        <f>AND(S90&lt;&gt;0,SIGN(L90+S90)&lt;&gt;SIGN(L90),L90+S90&lt;&gt;0,L90&lt;&gt;0)</f>
        <v/>
      </c>
      <c r="AA90">
        <f>IF(OR(X90,Y90),ABS(S90),IF(Z90,ABS(L90),0))</f>
        <v/>
      </c>
      <c r="AB90">
        <f>AA90*(U90-M90)*$H$2*IF(L90&lt;0,-1,1)</f>
        <v/>
      </c>
      <c r="AC90">
        <f>IF(W90,ABS(L90)*M90+ABS(S90)*U90,0)</f>
        <v/>
      </c>
      <c r="AD90">
        <f>IF(W90,ABS(L90+S90),0)</f>
        <v/>
      </c>
      <c r="AE90">
        <f>IF(V90,U90,IF(W90,AC90/AD90,IF(OR(X90,Y90),IF(Y90,0,M90),IF(Z90,U90,M90))))</f>
        <v/>
      </c>
      <c r="AF90">
        <f>AB90</f>
        <v/>
      </c>
      <c r="AG90">
        <f>ABS(S90)*$D$2</f>
        <v/>
      </c>
      <c r="AH90">
        <f>AF90-AG90</f>
        <v/>
      </c>
      <c r="AI90">
        <f>L90+S90</f>
        <v/>
      </c>
      <c r="AJ90">
        <f>AE90</f>
        <v/>
      </c>
      <c r="AK90">
        <f>N90+AH90</f>
        <v/>
      </c>
      <c r="AL90">
        <f>AI90*(F90-AJ90)*$H$2</f>
        <v/>
      </c>
      <c r="AM90">
        <f>AK90+AL90</f>
        <v/>
      </c>
      <c r="AN90">
        <f>MAX(AN89,AM90)</f>
        <v/>
      </c>
      <c r="AO90">
        <f>(AN90-AM90)/AN90*100</f>
        <v/>
      </c>
    </row>
    <row r="91">
      <c r="A91" t="n">
        <v>86</v>
      </c>
      <c r="B91" s="4" t="n">
        <v>45957.30208333334</v>
      </c>
      <c r="C91" t="n">
        <v>6944.75</v>
      </c>
      <c r="D91" t="n">
        <v>6944.75</v>
      </c>
      <c r="E91" t="n">
        <v>6942</v>
      </c>
      <c r="F91" t="n">
        <v>6942.25</v>
      </c>
      <c r="G91" t="n">
        <v>3450</v>
      </c>
      <c r="H91">
        <f>F91-C91</f>
        <v/>
      </c>
      <c r="I91">
        <f>AVERAGE(H84:H88)</f>
        <v/>
      </c>
      <c r="J91">
        <f>I91+$F$1</f>
        <v/>
      </c>
      <c r="K91">
        <f>MIN(MAX(J91,-$H$1),$H$1)</f>
        <v/>
      </c>
      <c r="L91">
        <f>AI90</f>
        <v/>
      </c>
      <c r="M91">
        <f>AJ90</f>
        <v/>
      </c>
      <c r="N91">
        <f>AK90</f>
        <v/>
      </c>
      <c r="O91">
        <f>N91+L91*(F91-M91)*$H$2</f>
        <v/>
      </c>
      <c r="P91">
        <f>K91*O91</f>
        <v/>
      </c>
      <c r="Q91">
        <f>F91*$H$2</f>
        <v/>
      </c>
      <c r="R91">
        <f>INT(P91/Q91)</f>
        <v/>
      </c>
      <c r="S91">
        <f>R91-L91</f>
        <v/>
      </c>
      <c r="T91">
        <f>IF(S91&gt;0,"BUY",IF(S91&lt;0,"SELL","HOLD"))</f>
        <v/>
      </c>
      <c r="U91">
        <f>IF(S91=0,0,F91+IF(S91&gt;0,$F$2,-$F$2))</f>
        <v/>
      </c>
      <c r="V91">
        <f>AND(L91=0,S91&lt;&gt;0)</f>
        <v/>
      </c>
      <c r="W91">
        <f>AND(S91&lt;&gt;0,SIGN(L91+S91)=SIGN(L91),ABS(L91+S91)&gt;ABS(L91),L91&lt;&gt;0)</f>
        <v/>
      </c>
      <c r="X91">
        <f>AND(S91&lt;&gt;0,SIGN(L91+S91)=SIGN(L91),ABS(L91+S91)&lt;ABS(L91))</f>
        <v/>
      </c>
      <c r="Y91">
        <f>AND(S91&lt;&gt;0,L91+S91=0)</f>
        <v/>
      </c>
      <c r="Z91">
        <f>AND(S91&lt;&gt;0,SIGN(L91+S91)&lt;&gt;SIGN(L91),L91+S91&lt;&gt;0,L91&lt;&gt;0)</f>
        <v/>
      </c>
      <c r="AA91">
        <f>IF(OR(X91,Y91),ABS(S91),IF(Z91,ABS(L91),0))</f>
        <v/>
      </c>
      <c r="AB91">
        <f>AA91*(U91-M91)*$H$2*IF(L91&lt;0,-1,1)</f>
        <v/>
      </c>
      <c r="AC91">
        <f>IF(W91,ABS(L91)*M91+ABS(S91)*U91,0)</f>
        <v/>
      </c>
      <c r="AD91">
        <f>IF(W91,ABS(L91+S91),0)</f>
        <v/>
      </c>
      <c r="AE91">
        <f>IF(V91,U91,IF(W91,AC91/AD91,IF(OR(X91,Y91),IF(Y91,0,M91),IF(Z91,U91,M91))))</f>
        <v/>
      </c>
      <c r="AF91">
        <f>AB91</f>
        <v/>
      </c>
      <c r="AG91">
        <f>ABS(S91)*$D$2</f>
        <v/>
      </c>
      <c r="AH91">
        <f>AF91-AG91</f>
        <v/>
      </c>
      <c r="AI91">
        <f>L91+S91</f>
        <v/>
      </c>
      <c r="AJ91">
        <f>AE91</f>
        <v/>
      </c>
      <c r="AK91">
        <f>N91+AH91</f>
        <v/>
      </c>
      <c r="AL91">
        <f>AI91*(F91-AJ91)*$H$2</f>
        <v/>
      </c>
      <c r="AM91">
        <f>AK91+AL91</f>
        <v/>
      </c>
      <c r="AN91">
        <f>MAX(AN90,AM91)</f>
        <v/>
      </c>
      <c r="AO91">
        <f>(AN91-AM91)/AN91*100</f>
        <v/>
      </c>
    </row>
    <row r="92">
      <c r="A92" t="n">
        <v>87</v>
      </c>
      <c r="B92" s="4" t="n">
        <v>45958.30208333334</v>
      </c>
      <c r="C92" t="n">
        <v>6975.75</v>
      </c>
      <c r="D92" t="n">
        <v>6978.75</v>
      </c>
      <c r="E92" t="n">
        <v>6974.75</v>
      </c>
      <c r="F92" t="n">
        <v>6978.25</v>
      </c>
      <c r="G92" t="n">
        <v>5921</v>
      </c>
      <c r="H92">
        <f>F92-C92</f>
        <v/>
      </c>
      <c r="I92">
        <f>AVERAGE(H85:H89)</f>
        <v/>
      </c>
      <c r="J92">
        <f>I92+$F$1</f>
        <v/>
      </c>
      <c r="K92">
        <f>MIN(MAX(J92,-$H$1),$H$1)</f>
        <v/>
      </c>
      <c r="L92">
        <f>AI91</f>
        <v/>
      </c>
      <c r="M92">
        <f>AJ91</f>
        <v/>
      </c>
      <c r="N92">
        <f>AK91</f>
        <v/>
      </c>
      <c r="O92">
        <f>N92+L92*(F92-M92)*$H$2</f>
        <v/>
      </c>
      <c r="P92">
        <f>K92*O92</f>
        <v/>
      </c>
      <c r="Q92">
        <f>F92*$H$2</f>
        <v/>
      </c>
      <c r="R92">
        <f>INT(P92/Q92)</f>
        <v/>
      </c>
      <c r="S92">
        <f>R92-L92</f>
        <v/>
      </c>
      <c r="T92">
        <f>IF(S92&gt;0,"BUY",IF(S92&lt;0,"SELL","HOLD"))</f>
        <v/>
      </c>
      <c r="U92">
        <f>IF(S92=0,0,F92+IF(S92&gt;0,$F$2,-$F$2))</f>
        <v/>
      </c>
      <c r="V92">
        <f>AND(L92=0,S92&lt;&gt;0)</f>
        <v/>
      </c>
      <c r="W92">
        <f>AND(S92&lt;&gt;0,SIGN(L92+S92)=SIGN(L92),ABS(L92+S92)&gt;ABS(L92),L92&lt;&gt;0)</f>
        <v/>
      </c>
      <c r="X92">
        <f>AND(S92&lt;&gt;0,SIGN(L92+S92)=SIGN(L92),ABS(L92+S92)&lt;ABS(L92))</f>
        <v/>
      </c>
      <c r="Y92">
        <f>AND(S92&lt;&gt;0,L92+S92=0)</f>
        <v/>
      </c>
      <c r="Z92">
        <f>AND(S92&lt;&gt;0,SIGN(L92+S92)&lt;&gt;SIGN(L92),L92+S92&lt;&gt;0,L92&lt;&gt;0)</f>
        <v/>
      </c>
      <c r="AA92">
        <f>IF(OR(X92,Y92),ABS(S92),IF(Z92,ABS(L92),0))</f>
        <v/>
      </c>
      <c r="AB92">
        <f>AA92*(U92-M92)*$H$2*IF(L92&lt;0,-1,1)</f>
        <v/>
      </c>
      <c r="AC92">
        <f>IF(W92,ABS(L92)*M92+ABS(S92)*U92,0)</f>
        <v/>
      </c>
      <c r="AD92">
        <f>IF(W92,ABS(L92+S92),0)</f>
        <v/>
      </c>
      <c r="AE92">
        <f>IF(V92,U92,IF(W92,AC92/AD92,IF(OR(X92,Y92),IF(Y92,0,M92),IF(Z92,U92,M92))))</f>
        <v/>
      </c>
      <c r="AF92">
        <f>AB92</f>
        <v/>
      </c>
      <c r="AG92">
        <f>ABS(S92)*$D$2</f>
        <v/>
      </c>
      <c r="AH92">
        <f>AF92-AG92</f>
        <v/>
      </c>
      <c r="AI92">
        <f>L92+S92</f>
        <v/>
      </c>
      <c r="AJ92">
        <f>AE92</f>
        <v/>
      </c>
      <c r="AK92">
        <f>N92+AH92</f>
        <v/>
      </c>
      <c r="AL92">
        <f>AI92*(F92-AJ92)*$H$2</f>
        <v/>
      </c>
      <c r="AM92">
        <f>AK92+AL92</f>
        <v/>
      </c>
      <c r="AN92">
        <f>MAX(AN91,AM92)</f>
        <v/>
      </c>
      <c r="AO92">
        <f>(AN92-AM92)/AN92*100</f>
        <v/>
      </c>
    </row>
    <row r="93">
      <c r="A93" t="n">
        <v>88</v>
      </c>
      <c r="B93" s="4" t="n">
        <v>45959.30208333334</v>
      </c>
      <c r="C93" t="n">
        <v>7005.25</v>
      </c>
      <c r="D93" t="n">
        <v>7006.75</v>
      </c>
      <c r="E93" t="n">
        <v>7001.25</v>
      </c>
      <c r="F93" t="n">
        <v>7001.75</v>
      </c>
      <c r="G93" t="n">
        <v>3544</v>
      </c>
      <c r="H93">
        <f>F93-C93</f>
        <v/>
      </c>
      <c r="I93">
        <f>AVERAGE(H86:H90)</f>
        <v/>
      </c>
      <c r="J93">
        <f>I93+$F$1</f>
        <v/>
      </c>
      <c r="K93">
        <f>MIN(MAX(J93,-$H$1),$H$1)</f>
        <v/>
      </c>
      <c r="L93">
        <f>AI92</f>
        <v/>
      </c>
      <c r="M93">
        <f>AJ92</f>
        <v/>
      </c>
      <c r="N93">
        <f>AK92</f>
        <v/>
      </c>
      <c r="O93">
        <f>N93+L93*(F93-M93)*$H$2</f>
        <v/>
      </c>
      <c r="P93">
        <f>K93*O93</f>
        <v/>
      </c>
      <c r="Q93">
        <f>F93*$H$2</f>
        <v/>
      </c>
      <c r="R93">
        <f>INT(P93/Q93)</f>
        <v/>
      </c>
      <c r="S93">
        <f>R93-L93</f>
        <v/>
      </c>
      <c r="T93">
        <f>IF(S93&gt;0,"BUY",IF(S93&lt;0,"SELL","HOLD"))</f>
        <v/>
      </c>
      <c r="U93">
        <f>IF(S93=0,0,F93+IF(S93&gt;0,$F$2,-$F$2))</f>
        <v/>
      </c>
      <c r="V93">
        <f>AND(L93=0,S93&lt;&gt;0)</f>
        <v/>
      </c>
      <c r="W93">
        <f>AND(S93&lt;&gt;0,SIGN(L93+S93)=SIGN(L93),ABS(L93+S93)&gt;ABS(L93),L93&lt;&gt;0)</f>
        <v/>
      </c>
      <c r="X93">
        <f>AND(S93&lt;&gt;0,SIGN(L93+S93)=SIGN(L93),ABS(L93+S93)&lt;ABS(L93))</f>
        <v/>
      </c>
      <c r="Y93">
        <f>AND(S93&lt;&gt;0,L93+S93=0)</f>
        <v/>
      </c>
      <c r="Z93">
        <f>AND(S93&lt;&gt;0,SIGN(L93+S93)&lt;&gt;SIGN(L93),L93+S93&lt;&gt;0,L93&lt;&gt;0)</f>
        <v/>
      </c>
      <c r="AA93">
        <f>IF(OR(X93,Y93),ABS(S93),IF(Z93,ABS(L93),0))</f>
        <v/>
      </c>
      <c r="AB93">
        <f>AA93*(U93-M93)*$H$2*IF(L93&lt;0,-1,1)</f>
        <v/>
      </c>
      <c r="AC93">
        <f>IF(W93,ABS(L93)*M93+ABS(S93)*U93,0)</f>
        <v/>
      </c>
      <c r="AD93">
        <f>IF(W93,ABS(L93+S93),0)</f>
        <v/>
      </c>
      <c r="AE93">
        <f>IF(V93,U93,IF(W93,AC93/AD93,IF(OR(X93,Y93),IF(Y93,0,M93),IF(Z93,U93,M93))))</f>
        <v/>
      </c>
      <c r="AF93">
        <f>AB93</f>
        <v/>
      </c>
      <c r="AG93">
        <f>ABS(S93)*$D$2</f>
        <v/>
      </c>
      <c r="AH93">
        <f>AF93-AG93</f>
        <v/>
      </c>
      <c r="AI93">
        <f>L93+S93</f>
        <v/>
      </c>
      <c r="AJ93">
        <f>AE93</f>
        <v/>
      </c>
      <c r="AK93">
        <f>N93+AH93</f>
        <v/>
      </c>
      <c r="AL93">
        <f>AI93*(F93-AJ93)*$H$2</f>
        <v/>
      </c>
      <c r="AM93">
        <f>AK93+AL93</f>
        <v/>
      </c>
      <c r="AN93">
        <f>MAX(AN92,AM93)</f>
        <v/>
      </c>
      <c r="AO93">
        <f>(AN93-AM93)/AN93*100</f>
        <v/>
      </c>
    </row>
    <row r="94">
      <c r="A94" t="n">
        <v>89</v>
      </c>
      <c r="B94" s="4" t="n">
        <v>45960.30208333334</v>
      </c>
      <c r="C94" t="n">
        <v>6971</v>
      </c>
      <c r="D94" t="n">
        <v>6975</v>
      </c>
      <c r="E94" t="n">
        <v>6958.25</v>
      </c>
      <c r="F94" t="n">
        <v>6961.25</v>
      </c>
      <c r="G94" t="n">
        <v>15994</v>
      </c>
      <c r="H94">
        <f>F94-C94</f>
        <v/>
      </c>
      <c r="I94">
        <f>AVERAGE(H87:H91)</f>
        <v/>
      </c>
      <c r="J94">
        <f>I94+$F$1</f>
        <v/>
      </c>
      <c r="K94">
        <f>MIN(MAX(J94,-$H$1),$H$1)</f>
        <v/>
      </c>
      <c r="L94">
        <f>AI93</f>
        <v/>
      </c>
      <c r="M94">
        <f>AJ93</f>
        <v/>
      </c>
      <c r="N94">
        <f>AK93</f>
        <v/>
      </c>
      <c r="O94">
        <f>N94+L94*(F94-M94)*$H$2</f>
        <v/>
      </c>
      <c r="P94">
        <f>K94*O94</f>
        <v/>
      </c>
      <c r="Q94">
        <f>F94*$H$2</f>
        <v/>
      </c>
      <c r="R94">
        <f>INT(P94/Q94)</f>
        <v/>
      </c>
      <c r="S94">
        <f>R94-L94</f>
        <v/>
      </c>
      <c r="T94">
        <f>IF(S94&gt;0,"BUY",IF(S94&lt;0,"SELL","HOLD"))</f>
        <v/>
      </c>
      <c r="U94">
        <f>IF(S94=0,0,F94+IF(S94&gt;0,$F$2,-$F$2))</f>
        <v/>
      </c>
      <c r="V94">
        <f>AND(L94=0,S94&lt;&gt;0)</f>
        <v/>
      </c>
      <c r="W94">
        <f>AND(S94&lt;&gt;0,SIGN(L94+S94)=SIGN(L94),ABS(L94+S94)&gt;ABS(L94),L94&lt;&gt;0)</f>
        <v/>
      </c>
      <c r="X94">
        <f>AND(S94&lt;&gt;0,SIGN(L94+S94)=SIGN(L94),ABS(L94+S94)&lt;ABS(L94))</f>
        <v/>
      </c>
      <c r="Y94">
        <f>AND(S94&lt;&gt;0,L94+S94=0)</f>
        <v/>
      </c>
      <c r="Z94">
        <f>AND(S94&lt;&gt;0,SIGN(L94+S94)&lt;&gt;SIGN(L94),L94+S94&lt;&gt;0,L94&lt;&gt;0)</f>
        <v/>
      </c>
      <c r="AA94">
        <f>IF(OR(X94,Y94),ABS(S94),IF(Z94,ABS(L94),0))</f>
        <v/>
      </c>
      <c r="AB94">
        <f>AA94*(U94-M94)*$H$2*IF(L94&lt;0,-1,1)</f>
        <v/>
      </c>
      <c r="AC94">
        <f>IF(W94,ABS(L94)*M94+ABS(S94)*U94,0)</f>
        <v/>
      </c>
      <c r="AD94">
        <f>IF(W94,ABS(L94+S94),0)</f>
        <v/>
      </c>
      <c r="AE94">
        <f>IF(V94,U94,IF(W94,AC94/AD94,IF(OR(X94,Y94),IF(Y94,0,M94),IF(Z94,U94,M94))))</f>
        <v/>
      </c>
      <c r="AF94">
        <f>AB94</f>
        <v/>
      </c>
      <c r="AG94">
        <f>ABS(S94)*$D$2</f>
        <v/>
      </c>
      <c r="AH94">
        <f>AF94-AG94</f>
        <v/>
      </c>
      <c r="AI94">
        <f>L94+S94</f>
        <v/>
      </c>
      <c r="AJ94">
        <f>AE94</f>
        <v/>
      </c>
      <c r="AK94">
        <f>N94+AH94</f>
        <v/>
      </c>
      <c r="AL94">
        <f>AI94*(F94-AJ94)*$H$2</f>
        <v/>
      </c>
      <c r="AM94">
        <f>AK94+AL94</f>
        <v/>
      </c>
      <c r="AN94">
        <f>MAX(AN93,AM94)</f>
        <v/>
      </c>
      <c r="AO94">
        <f>(AN94-AM94)/AN94*100</f>
        <v/>
      </c>
    </row>
    <row r="95">
      <c r="A95" t="n">
        <v>90</v>
      </c>
      <c r="B95" s="4" t="n">
        <v>45961.30208333334</v>
      </c>
      <c r="C95" t="n">
        <v>6973.75</v>
      </c>
      <c r="D95" t="n">
        <v>6979</v>
      </c>
      <c r="E95" t="n">
        <v>6973.5</v>
      </c>
      <c r="F95" t="n">
        <v>6976.25</v>
      </c>
      <c r="G95" t="n">
        <v>7953</v>
      </c>
      <c r="H95">
        <f>F95-C95</f>
        <v/>
      </c>
      <c r="I95">
        <f>AVERAGE(H88:H92)</f>
        <v/>
      </c>
      <c r="J95">
        <f>I95+$F$1</f>
        <v/>
      </c>
      <c r="K95">
        <f>MIN(MAX(J95,-$H$1),$H$1)</f>
        <v/>
      </c>
      <c r="L95">
        <f>AI94</f>
        <v/>
      </c>
      <c r="M95">
        <f>AJ94</f>
        <v/>
      </c>
      <c r="N95">
        <f>AK94</f>
        <v/>
      </c>
      <c r="O95">
        <f>N95+L95*(F95-M95)*$H$2</f>
        <v/>
      </c>
      <c r="P95">
        <f>K95*O95</f>
        <v/>
      </c>
      <c r="Q95">
        <f>F95*$H$2</f>
        <v/>
      </c>
      <c r="R95">
        <f>INT(P95/Q95)</f>
        <v/>
      </c>
      <c r="S95">
        <f>R95-L95</f>
        <v/>
      </c>
      <c r="T95">
        <f>IF(S95&gt;0,"BUY",IF(S95&lt;0,"SELL","HOLD"))</f>
        <v/>
      </c>
      <c r="U95">
        <f>IF(S95=0,0,F95+IF(S95&gt;0,$F$2,-$F$2))</f>
        <v/>
      </c>
      <c r="V95">
        <f>AND(L95=0,S95&lt;&gt;0)</f>
        <v/>
      </c>
      <c r="W95">
        <f>AND(S95&lt;&gt;0,SIGN(L95+S95)=SIGN(L95),ABS(L95+S95)&gt;ABS(L95),L95&lt;&gt;0)</f>
        <v/>
      </c>
      <c r="X95">
        <f>AND(S95&lt;&gt;0,SIGN(L95+S95)=SIGN(L95),ABS(L95+S95)&lt;ABS(L95))</f>
        <v/>
      </c>
      <c r="Y95">
        <f>AND(S95&lt;&gt;0,L95+S95=0)</f>
        <v/>
      </c>
      <c r="Z95">
        <f>AND(S95&lt;&gt;0,SIGN(L95+S95)&lt;&gt;SIGN(L95),L95+S95&lt;&gt;0,L95&lt;&gt;0)</f>
        <v/>
      </c>
      <c r="AA95">
        <f>IF(OR(X95,Y95),ABS(S95),IF(Z95,ABS(L95),0))</f>
        <v/>
      </c>
      <c r="AB95">
        <f>AA95*(U95-M95)*$H$2*IF(L95&lt;0,-1,1)</f>
        <v/>
      </c>
      <c r="AC95">
        <f>IF(W95,ABS(L95)*M95+ABS(S95)*U95,0)</f>
        <v/>
      </c>
      <c r="AD95">
        <f>IF(W95,ABS(L95+S95),0)</f>
        <v/>
      </c>
      <c r="AE95">
        <f>IF(V95,U95,IF(W95,AC95/AD95,IF(OR(X95,Y95),IF(Y95,0,M95),IF(Z95,U95,M95))))</f>
        <v/>
      </c>
      <c r="AF95">
        <f>AB95</f>
        <v/>
      </c>
      <c r="AG95">
        <f>ABS(S95)*$D$2</f>
        <v/>
      </c>
      <c r="AH95">
        <f>AF95-AG95</f>
        <v/>
      </c>
      <c r="AI95">
        <f>L95+S95</f>
        <v/>
      </c>
      <c r="AJ95">
        <f>AE95</f>
        <v/>
      </c>
      <c r="AK95">
        <f>N95+AH95</f>
        <v/>
      </c>
      <c r="AL95">
        <f>AI95*(F95-AJ95)*$H$2</f>
        <v/>
      </c>
      <c r="AM95">
        <f>AK95+AL95</f>
        <v/>
      </c>
      <c r="AN95">
        <f>MAX(AN94,AM95)</f>
        <v/>
      </c>
      <c r="AO95">
        <f>(AN95-AM95)/AN95*100</f>
        <v/>
      </c>
    </row>
    <row r="96">
      <c r="A96" t="n">
        <v>91</v>
      </c>
      <c r="B96" s="4" t="n">
        <v>45964.30208333334</v>
      </c>
      <c r="C96" t="n">
        <v>6950</v>
      </c>
      <c r="D96" t="n">
        <v>6953.25</v>
      </c>
      <c r="E96" t="n">
        <v>6948.5</v>
      </c>
      <c r="F96" t="n">
        <v>6949</v>
      </c>
      <c r="G96" t="n">
        <v>4229</v>
      </c>
      <c r="H96">
        <f>F96-C96</f>
        <v/>
      </c>
      <c r="I96">
        <f>AVERAGE(H89:H93)</f>
        <v/>
      </c>
      <c r="J96">
        <f>I96+$F$1</f>
        <v/>
      </c>
      <c r="K96">
        <f>MIN(MAX(J96,-$H$1),$H$1)</f>
        <v/>
      </c>
      <c r="L96">
        <f>AI95</f>
        <v/>
      </c>
      <c r="M96">
        <f>AJ95</f>
        <v/>
      </c>
      <c r="N96">
        <f>AK95</f>
        <v/>
      </c>
      <c r="O96">
        <f>N96+L96*(F96-M96)*$H$2</f>
        <v/>
      </c>
      <c r="P96">
        <f>K96*O96</f>
        <v/>
      </c>
      <c r="Q96">
        <f>F96*$H$2</f>
        <v/>
      </c>
      <c r="R96">
        <f>INT(P96/Q96)</f>
        <v/>
      </c>
      <c r="S96">
        <f>R96-L96</f>
        <v/>
      </c>
      <c r="T96">
        <f>IF(S96&gt;0,"BUY",IF(S96&lt;0,"SELL","HOLD"))</f>
        <v/>
      </c>
      <c r="U96">
        <f>IF(S96=0,0,F96+IF(S96&gt;0,$F$2,-$F$2))</f>
        <v/>
      </c>
      <c r="V96">
        <f>AND(L96=0,S96&lt;&gt;0)</f>
        <v/>
      </c>
      <c r="W96">
        <f>AND(S96&lt;&gt;0,SIGN(L96+S96)=SIGN(L96),ABS(L96+S96)&gt;ABS(L96),L96&lt;&gt;0)</f>
        <v/>
      </c>
      <c r="X96">
        <f>AND(S96&lt;&gt;0,SIGN(L96+S96)=SIGN(L96),ABS(L96+S96)&lt;ABS(L96))</f>
        <v/>
      </c>
      <c r="Y96">
        <f>AND(S96&lt;&gt;0,L96+S96=0)</f>
        <v/>
      </c>
      <c r="Z96">
        <f>AND(S96&lt;&gt;0,SIGN(L96+S96)&lt;&gt;SIGN(L96),L96+S96&lt;&gt;0,L96&lt;&gt;0)</f>
        <v/>
      </c>
      <c r="AA96">
        <f>IF(OR(X96,Y96),ABS(S96),IF(Z96,ABS(L96),0))</f>
        <v/>
      </c>
      <c r="AB96">
        <f>AA96*(U96-M96)*$H$2*IF(L96&lt;0,-1,1)</f>
        <v/>
      </c>
      <c r="AC96">
        <f>IF(W96,ABS(L96)*M96+ABS(S96)*U96,0)</f>
        <v/>
      </c>
      <c r="AD96">
        <f>IF(W96,ABS(L96+S96),0)</f>
        <v/>
      </c>
      <c r="AE96">
        <f>IF(V96,U96,IF(W96,AC96/AD96,IF(OR(X96,Y96),IF(Y96,0,M96),IF(Z96,U96,M96))))</f>
        <v/>
      </c>
      <c r="AF96">
        <f>AB96</f>
        <v/>
      </c>
      <c r="AG96">
        <f>ABS(S96)*$D$2</f>
        <v/>
      </c>
      <c r="AH96">
        <f>AF96-AG96</f>
        <v/>
      </c>
      <c r="AI96">
        <f>L96+S96</f>
        <v/>
      </c>
      <c r="AJ96">
        <f>AE96</f>
        <v/>
      </c>
      <c r="AK96">
        <f>N96+AH96</f>
        <v/>
      </c>
      <c r="AL96">
        <f>AI96*(F96-AJ96)*$H$2</f>
        <v/>
      </c>
      <c r="AM96">
        <f>AK96+AL96</f>
        <v/>
      </c>
      <c r="AN96">
        <f>MAX(AN95,AM96)</f>
        <v/>
      </c>
      <c r="AO96">
        <f>(AN96-AM96)/AN96*100</f>
        <v/>
      </c>
    </row>
    <row r="97">
      <c r="A97" t="n">
        <v>92</v>
      </c>
      <c r="B97" s="4" t="n">
        <v>45965.30208333334</v>
      </c>
      <c r="C97" t="n">
        <v>6872.5</v>
      </c>
      <c r="D97" t="n">
        <v>6873.75</v>
      </c>
      <c r="E97" t="n">
        <v>6865.5</v>
      </c>
      <c r="F97" t="n">
        <v>6866</v>
      </c>
      <c r="G97" t="n">
        <v>9229</v>
      </c>
      <c r="H97">
        <f>F97-C97</f>
        <v/>
      </c>
      <c r="I97">
        <f>AVERAGE(H90:H94)</f>
        <v/>
      </c>
      <c r="J97">
        <f>I97+$F$1</f>
        <v/>
      </c>
      <c r="K97">
        <f>MIN(MAX(J97,-$H$1),$H$1)</f>
        <v/>
      </c>
      <c r="L97">
        <f>AI96</f>
        <v/>
      </c>
      <c r="M97">
        <f>AJ96</f>
        <v/>
      </c>
      <c r="N97">
        <f>AK96</f>
        <v/>
      </c>
      <c r="O97">
        <f>N97+L97*(F97-M97)*$H$2</f>
        <v/>
      </c>
      <c r="P97">
        <f>K97*O97</f>
        <v/>
      </c>
      <c r="Q97">
        <f>F97*$H$2</f>
        <v/>
      </c>
      <c r="R97">
        <f>INT(P97/Q97)</f>
        <v/>
      </c>
      <c r="S97">
        <f>R97-L97</f>
        <v/>
      </c>
      <c r="T97">
        <f>IF(S97&gt;0,"BUY",IF(S97&lt;0,"SELL","HOLD"))</f>
        <v/>
      </c>
      <c r="U97">
        <f>IF(S97=0,0,F97+IF(S97&gt;0,$F$2,-$F$2))</f>
        <v/>
      </c>
      <c r="V97">
        <f>AND(L97=0,S97&lt;&gt;0)</f>
        <v/>
      </c>
      <c r="W97">
        <f>AND(S97&lt;&gt;0,SIGN(L97+S97)=SIGN(L97),ABS(L97+S97)&gt;ABS(L97),L97&lt;&gt;0)</f>
        <v/>
      </c>
      <c r="X97">
        <f>AND(S97&lt;&gt;0,SIGN(L97+S97)=SIGN(L97),ABS(L97+S97)&lt;ABS(L97))</f>
        <v/>
      </c>
      <c r="Y97">
        <f>AND(S97&lt;&gt;0,L97+S97=0)</f>
        <v/>
      </c>
      <c r="Z97">
        <f>AND(S97&lt;&gt;0,SIGN(L97+S97)&lt;&gt;SIGN(L97),L97+S97&lt;&gt;0,L97&lt;&gt;0)</f>
        <v/>
      </c>
      <c r="AA97">
        <f>IF(OR(X97,Y97),ABS(S97),IF(Z97,ABS(L97),0))</f>
        <v/>
      </c>
      <c r="AB97">
        <f>AA97*(U97-M97)*$H$2*IF(L97&lt;0,-1,1)</f>
        <v/>
      </c>
      <c r="AC97">
        <f>IF(W97,ABS(L97)*M97+ABS(S97)*U97,0)</f>
        <v/>
      </c>
      <c r="AD97">
        <f>IF(W97,ABS(L97+S97),0)</f>
        <v/>
      </c>
      <c r="AE97">
        <f>IF(V97,U97,IF(W97,AC97/AD97,IF(OR(X97,Y97),IF(Y97,0,M97),IF(Z97,U97,M97))))</f>
        <v/>
      </c>
      <c r="AF97">
        <f>AB97</f>
        <v/>
      </c>
      <c r="AG97">
        <f>ABS(S97)*$D$2</f>
        <v/>
      </c>
      <c r="AH97">
        <f>AF97-AG97</f>
        <v/>
      </c>
      <c r="AI97">
        <f>L97+S97</f>
        <v/>
      </c>
      <c r="AJ97">
        <f>AE97</f>
        <v/>
      </c>
      <c r="AK97">
        <f>N97+AH97</f>
        <v/>
      </c>
      <c r="AL97">
        <f>AI97*(F97-AJ97)*$H$2</f>
        <v/>
      </c>
      <c r="AM97">
        <f>AK97+AL97</f>
        <v/>
      </c>
      <c r="AN97">
        <f>MAX(AN96,AM97)</f>
        <v/>
      </c>
      <c r="AO97">
        <f>(AN97-AM97)/AN97*100</f>
        <v/>
      </c>
    </row>
    <row r="98">
      <c r="A98" t="n">
        <v>93</v>
      </c>
      <c r="B98" s="4" t="n">
        <v>45966.30208333334</v>
      </c>
      <c r="C98" t="n">
        <v>6851.5</v>
      </c>
      <c r="D98" t="n">
        <v>6861.5</v>
      </c>
      <c r="E98" t="n">
        <v>6850.25</v>
      </c>
      <c r="F98" t="n">
        <v>6860.5</v>
      </c>
      <c r="G98" t="n">
        <v>8021</v>
      </c>
      <c r="H98">
        <f>F98-C98</f>
        <v/>
      </c>
      <c r="I98">
        <f>AVERAGE(H91:H95)</f>
        <v/>
      </c>
      <c r="J98">
        <f>I98+$F$1</f>
        <v/>
      </c>
      <c r="K98">
        <f>MIN(MAX(J98,-$H$1),$H$1)</f>
        <v/>
      </c>
      <c r="L98">
        <f>AI97</f>
        <v/>
      </c>
      <c r="M98">
        <f>AJ97</f>
        <v/>
      </c>
      <c r="N98">
        <f>AK97</f>
        <v/>
      </c>
      <c r="O98">
        <f>N98+L98*(F98-M98)*$H$2</f>
        <v/>
      </c>
      <c r="P98">
        <f>K98*O98</f>
        <v/>
      </c>
      <c r="Q98">
        <f>F98*$H$2</f>
        <v/>
      </c>
      <c r="R98">
        <f>INT(P98/Q98)</f>
        <v/>
      </c>
      <c r="S98">
        <f>R98-L98</f>
        <v/>
      </c>
      <c r="T98">
        <f>IF(S98&gt;0,"BUY",IF(S98&lt;0,"SELL","HOLD"))</f>
        <v/>
      </c>
      <c r="U98">
        <f>IF(S98=0,0,F98+IF(S98&gt;0,$F$2,-$F$2))</f>
        <v/>
      </c>
      <c r="V98">
        <f>AND(L98=0,S98&lt;&gt;0)</f>
        <v/>
      </c>
      <c r="W98">
        <f>AND(S98&lt;&gt;0,SIGN(L98+S98)=SIGN(L98),ABS(L98+S98)&gt;ABS(L98),L98&lt;&gt;0)</f>
        <v/>
      </c>
      <c r="X98">
        <f>AND(S98&lt;&gt;0,SIGN(L98+S98)=SIGN(L98),ABS(L98+S98)&lt;ABS(L98))</f>
        <v/>
      </c>
      <c r="Y98">
        <f>AND(S98&lt;&gt;0,L98+S98=0)</f>
        <v/>
      </c>
      <c r="Z98">
        <f>AND(S98&lt;&gt;0,SIGN(L98+S98)&lt;&gt;SIGN(L98),L98+S98&lt;&gt;0,L98&lt;&gt;0)</f>
        <v/>
      </c>
      <c r="AA98">
        <f>IF(OR(X98,Y98),ABS(S98),IF(Z98,ABS(L98),0))</f>
        <v/>
      </c>
      <c r="AB98">
        <f>AA98*(U98-M98)*$H$2*IF(L98&lt;0,-1,1)</f>
        <v/>
      </c>
      <c r="AC98">
        <f>IF(W98,ABS(L98)*M98+ABS(S98)*U98,0)</f>
        <v/>
      </c>
      <c r="AD98">
        <f>IF(W98,ABS(L98+S98),0)</f>
        <v/>
      </c>
      <c r="AE98">
        <f>IF(V98,U98,IF(W98,AC98/AD98,IF(OR(X98,Y98),IF(Y98,0,M98),IF(Z98,U98,M98))))</f>
        <v/>
      </c>
      <c r="AF98">
        <f>AB98</f>
        <v/>
      </c>
      <c r="AG98">
        <f>ABS(S98)*$D$2</f>
        <v/>
      </c>
      <c r="AH98">
        <f>AF98-AG98</f>
        <v/>
      </c>
      <c r="AI98">
        <f>L98+S98</f>
        <v/>
      </c>
      <c r="AJ98">
        <f>AE98</f>
        <v/>
      </c>
      <c r="AK98">
        <f>N98+AH98</f>
        <v/>
      </c>
      <c r="AL98">
        <f>AI98*(F98-AJ98)*$H$2</f>
        <v/>
      </c>
      <c r="AM98">
        <f>AK98+AL98</f>
        <v/>
      </c>
      <c r="AN98">
        <f>MAX(AN97,AM98)</f>
        <v/>
      </c>
      <c r="AO98">
        <f>(AN98-AM98)/AN98*100</f>
        <v/>
      </c>
    </row>
    <row r="99">
      <c r="A99" t="n">
        <v>94</v>
      </c>
      <c r="B99" s="4" t="n">
        <v>45967.30208333334</v>
      </c>
      <c r="C99" t="n">
        <v>6898.25</v>
      </c>
      <c r="D99" t="n">
        <v>6901.5</v>
      </c>
      <c r="E99" t="n">
        <v>6895.75</v>
      </c>
      <c r="F99" t="n">
        <v>6901</v>
      </c>
      <c r="G99" t="n">
        <v>4287</v>
      </c>
      <c r="H99">
        <f>F99-C99</f>
        <v/>
      </c>
      <c r="I99">
        <f>AVERAGE(H92:H96)</f>
        <v/>
      </c>
      <c r="J99">
        <f>I99+$F$1</f>
        <v/>
      </c>
      <c r="K99">
        <f>MIN(MAX(J99,-$H$1),$H$1)</f>
        <v/>
      </c>
      <c r="L99">
        <f>AI98</f>
        <v/>
      </c>
      <c r="M99">
        <f>AJ98</f>
        <v/>
      </c>
      <c r="N99">
        <f>AK98</f>
        <v/>
      </c>
      <c r="O99">
        <f>N99+L99*(F99-M99)*$H$2</f>
        <v/>
      </c>
      <c r="P99">
        <f>K99*O99</f>
        <v/>
      </c>
      <c r="Q99">
        <f>F99*$H$2</f>
        <v/>
      </c>
      <c r="R99">
        <f>INT(P99/Q99)</f>
        <v/>
      </c>
      <c r="S99">
        <f>R99-L99</f>
        <v/>
      </c>
      <c r="T99">
        <f>IF(S99&gt;0,"BUY",IF(S99&lt;0,"SELL","HOLD"))</f>
        <v/>
      </c>
      <c r="U99">
        <f>IF(S99=0,0,F99+IF(S99&gt;0,$F$2,-$F$2))</f>
        <v/>
      </c>
      <c r="V99">
        <f>AND(L99=0,S99&lt;&gt;0)</f>
        <v/>
      </c>
      <c r="W99">
        <f>AND(S99&lt;&gt;0,SIGN(L99+S99)=SIGN(L99),ABS(L99+S99)&gt;ABS(L99),L99&lt;&gt;0)</f>
        <v/>
      </c>
      <c r="X99">
        <f>AND(S99&lt;&gt;0,SIGN(L99+S99)=SIGN(L99),ABS(L99+S99)&lt;ABS(L99))</f>
        <v/>
      </c>
      <c r="Y99">
        <f>AND(S99&lt;&gt;0,L99+S99=0)</f>
        <v/>
      </c>
      <c r="Z99">
        <f>AND(S99&lt;&gt;0,SIGN(L99+S99)&lt;&gt;SIGN(L99),L99+S99&lt;&gt;0,L99&lt;&gt;0)</f>
        <v/>
      </c>
      <c r="AA99">
        <f>IF(OR(X99,Y99),ABS(S99),IF(Z99,ABS(L99),0))</f>
        <v/>
      </c>
      <c r="AB99">
        <f>AA99*(U99-M99)*$H$2*IF(L99&lt;0,-1,1)</f>
        <v/>
      </c>
      <c r="AC99">
        <f>IF(W99,ABS(L99)*M99+ABS(S99)*U99,0)</f>
        <v/>
      </c>
      <c r="AD99">
        <f>IF(W99,ABS(L99+S99),0)</f>
        <v/>
      </c>
      <c r="AE99">
        <f>IF(V99,U99,IF(W99,AC99/AD99,IF(OR(X99,Y99),IF(Y99,0,M99),IF(Z99,U99,M99))))</f>
        <v/>
      </c>
      <c r="AF99">
        <f>AB99</f>
        <v/>
      </c>
      <c r="AG99">
        <f>ABS(S99)*$D$2</f>
        <v/>
      </c>
      <c r="AH99">
        <f>AF99-AG99</f>
        <v/>
      </c>
      <c r="AI99">
        <f>L99+S99</f>
        <v/>
      </c>
      <c r="AJ99">
        <f>AE99</f>
        <v/>
      </c>
      <c r="AK99">
        <f>N99+AH99</f>
        <v/>
      </c>
      <c r="AL99">
        <f>AI99*(F99-AJ99)*$H$2</f>
        <v/>
      </c>
      <c r="AM99">
        <f>AK99+AL99</f>
        <v/>
      </c>
      <c r="AN99">
        <f>MAX(AN98,AM99)</f>
        <v/>
      </c>
      <c r="AO99">
        <f>(AN99-AM99)/AN99*100</f>
        <v/>
      </c>
    </row>
    <row r="100">
      <c r="A100" t="n">
        <v>95</v>
      </c>
      <c r="B100" s="4" t="n">
        <v>45968.30208333334</v>
      </c>
      <c r="C100" t="n">
        <v>6783</v>
      </c>
      <c r="D100" t="n">
        <v>6789.25</v>
      </c>
      <c r="E100" t="n">
        <v>6775.75</v>
      </c>
      <c r="F100" t="n">
        <v>6776.5</v>
      </c>
      <c r="G100" t="n">
        <v>9412</v>
      </c>
      <c r="H100">
        <f>F100-C100</f>
        <v/>
      </c>
      <c r="I100">
        <f>AVERAGE(H93:H97)</f>
        <v/>
      </c>
      <c r="J100">
        <f>I100+$F$1</f>
        <v/>
      </c>
      <c r="K100">
        <f>MIN(MAX(J100,-$H$1),$H$1)</f>
        <v/>
      </c>
      <c r="L100">
        <f>AI99</f>
        <v/>
      </c>
      <c r="M100">
        <f>AJ99</f>
        <v/>
      </c>
      <c r="N100">
        <f>AK99</f>
        <v/>
      </c>
      <c r="O100">
        <f>N100+L100*(F100-M100)*$H$2</f>
        <v/>
      </c>
      <c r="P100">
        <f>K100*O100</f>
        <v/>
      </c>
      <c r="Q100">
        <f>F100*$H$2</f>
        <v/>
      </c>
      <c r="R100">
        <f>INT(P100/Q100)</f>
        <v/>
      </c>
      <c r="S100">
        <f>R100-L100</f>
        <v/>
      </c>
      <c r="T100">
        <f>IF(S100&gt;0,"BUY",IF(S100&lt;0,"SELL","HOLD"))</f>
        <v/>
      </c>
      <c r="U100">
        <f>IF(S100=0,0,F100+IF(S100&gt;0,$F$2,-$F$2))</f>
        <v/>
      </c>
      <c r="V100">
        <f>AND(L100=0,S100&lt;&gt;0)</f>
        <v/>
      </c>
      <c r="W100">
        <f>AND(S100&lt;&gt;0,SIGN(L100+S100)=SIGN(L100),ABS(L100+S100)&gt;ABS(L100),L100&lt;&gt;0)</f>
        <v/>
      </c>
      <c r="X100">
        <f>AND(S100&lt;&gt;0,SIGN(L100+S100)=SIGN(L100),ABS(L100+S100)&lt;ABS(L100))</f>
        <v/>
      </c>
      <c r="Y100">
        <f>AND(S100&lt;&gt;0,L100+S100=0)</f>
        <v/>
      </c>
      <c r="Z100">
        <f>AND(S100&lt;&gt;0,SIGN(L100+S100)&lt;&gt;SIGN(L100),L100+S100&lt;&gt;0,L100&lt;&gt;0)</f>
        <v/>
      </c>
      <c r="AA100">
        <f>IF(OR(X100,Y100),ABS(S100),IF(Z100,ABS(L100),0))</f>
        <v/>
      </c>
      <c r="AB100">
        <f>AA100*(U100-M100)*$H$2*IF(L100&lt;0,-1,1)</f>
        <v/>
      </c>
      <c r="AC100">
        <f>IF(W100,ABS(L100)*M100+ABS(S100)*U100,0)</f>
        <v/>
      </c>
      <c r="AD100">
        <f>IF(W100,ABS(L100+S100),0)</f>
        <v/>
      </c>
      <c r="AE100">
        <f>IF(V100,U100,IF(W100,AC100/AD100,IF(OR(X100,Y100),IF(Y100,0,M100),IF(Z100,U100,M100))))</f>
        <v/>
      </c>
      <c r="AF100">
        <f>AB100</f>
        <v/>
      </c>
      <c r="AG100">
        <f>ABS(S100)*$D$2</f>
        <v/>
      </c>
      <c r="AH100">
        <f>AF100-AG100</f>
        <v/>
      </c>
      <c r="AI100">
        <f>L100+S100</f>
        <v/>
      </c>
      <c r="AJ100">
        <f>AE100</f>
        <v/>
      </c>
      <c r="AK100">
        <f>N100+AH100</f>
        <v/>
      </c>
      <c r="AL100">
        <f>AI100*(F100-AJ100)*$H$2</f>
        <v/>
      </c>
      <c r="AM100">
        <f>AK100+AL100</f>
        <v/>
      </c>
      <c r="AN100">
        <f>MAX(AN99,AM100)</f>
        <v/>
      </c>
      <c r="AO100">
        <f>(AN100-AM100)/AN100*100</f>
        <v/>
      </c>
    </row>
    <row r="101">
      <c r="A101" t="n">
        <v>96</v>
      </c>
      <c r="B101" s="4" t="n">
        <v>45971.30208333334</v>
      </c>
      <c r="C101" t="n">
        <v>6874</v>
      </c>
      <c r="D101" t="n">
        <v>6877.75</v>
      </c>
      <c r="E101" t="n">
        <v>6873.25</v>
      </c>
      <c r="F101" t="n">
        <v>6877</v>
      </c>
      <c r="G101" t="n">
        <v>3823</v>
      </c>
      <c r="H101">
        <f>F101-C101</f>
        <v/>
      </c>
      <c r="I101">
        <f>AVERAGE(H94:H98)</f>
        <v/>
      </c>
      <c r="J101">
        <f>I101+$F$1</f>
        <v/>
      </c>
      <c r="K101">
        <f>MIN(MAX(J101,-$H$1),$H$1)</f>
        <v/>
      </c>
      <c r="L101">
        <f>AI100</f>
        <v/>
      </c>
      <c r="M101">
        <f>AJ100</f>
        <v/>
      </c>
      <c r="N101">
        <f>AK100</f>
        <v/>
      </c>
      <c r="O101">
        <f>N101+L101*(F101-M101)*$H$2</f>
        <v/>
      </c>
      <c r="P101">
        <f>K101*O101</f>
        <v/>
      </c>
      <c r="Q101">
        <f>F101*$H$2</f>
        <v/>
      </c>
      <c r="R101">
        <f>INT(P101/Q101)</f>
        <v/>
      </c>
      <c r="S101">
        <f>R101-L101</f>
        <v/>
      </c>
      <c r="T101">
        <f>IF(S101&gt;0,"BUY",IF(S101&lt;0,"SELL","HOLD"))</f>
        <v/>
      </c>
      <c r="U101">
        <f>IF(S101=0,0,F101+IF(S101&gt;0,$F$2,-$F$2))</f>
        <v/>
      </c>
      <c r="V101">
        <f>AND(L101=0,S101&lt;&gt;0)</f>
        <v/>
      </c>
      <c r="W101">
        <f>AND(S101&lt;&gt;0,SIGN(L101+S101)=SIGN(L101),ABS(L101+S101)&gt;ABS(L101),L101&lt;&gt;0)</f>
        <v/>
      </c>
      <c r="X101">
        <f>AND(S101&lt;&gt;0,SIGN(L101+S101)=SIGN(L101),ABS(L101+S101)&lt;ABS(L101))</f>
        <v/>
      </c>
      <c r="Y101">
        <f>AND(S101&lt;&gt;0,L101+S101=0)</f>
        <v/>
      </c>
      <c r="Z101">
        <f>AND(S101&lt;&gt;0,SIGN(L101+S101)&lt;&gt;SIGN(L101),L101+S101&lt;&gt;0,L101&lt;&gt;0)</f>
        <v/>
      </c>
      <c r="AA101">
        <f>IF(OR(X101,Y101),ABS(S101),IF(Z101,ABS(L101),0))</f>
        <v/>
      </c>
      <c r="AB101">
        <f>AA101*(U101-M101)*$H$2*IF(L101&lt;0,-1,1)</f>
        <v/>
      </c>
      <c r="AC101">
        <f>IF(W101,ABS(L101)*M101+ABS(S101)*U101,0)</f>
        <v/>
      </c>
      <c r="AD101">
        <f>IF(W101,ABS(L101+S101),0)</f>
        <v/>
      </c>
      <c r="AE101">
        <f>IF(V101,U101,IF(W101,AC101/AD101,IF(OR(X101,Y101),IF(Y101,0,M101),IF(Z101,U101,M101))))</f>
        <v/>
      </c>
      <c r="AF101">
        <f>AB101</f>
        <v/>
      </c>
      <c r="AG101">
        <f>ABS(S101)*$D$2</f>
        <v/>
      </c>
      <c r="AH101">
        <f>AF101-AG101</f>
        <v/>
      </c>
      <c r="AI101">
        <f>L101+S101</f>
        <v/>
      </c>
      <c r="AJ101">
        <f>AE101</f>
        <v/>
      </c>
      <c r="AK101">
        <f>N101+AH101</f>
        <v/>
      </c>
      <c r="AL101">
        <f>AI101*(F101-AJ101)*$H$2</f>
        <v/>
      </c>
      <c r="AM101">
        <f>AK101+AL101</f>
        <v/>
      </c>
      <c r="AN101">
        <f>MAX(AN100,AM101)</f>
        <v/>
      </c>
      <c r="AO101">
        <f>(AN101-AM101)/AN101*100</f>
        <v/>
      </c>
    </row>
    <row r="102">
      <c r="A102" t="n">
        <v>97</v>
      </c>
      <c r="B102" s="4" t="n">
        <v>45972.30208333334</v>
      </c>
      <c r="C102" t="n">
        <v>6904.75</v>
      </c>
      <c r="D102" t="n">
        <v>6904.75</v>
      </c>
      <c r="E102" t="n">
        <v>6895.5</v>
      </c>
      <c r="F102" t="n">
        <v>6897.5</v>
      </c>
      <c r="G102" t="n">
        <v>7633</v>
      </c>
      <c r="H102">
        <f>F102-C102</f>
        <v/>
      </c>
      <c r="I102">
        <f>AVERAGE(H95:H99)</f>
        <v/>
      </c>
      <c r="J102">
        <f>I102+$F$1</f>
        <v/>
      </c>
      <c r="K102">
        <f>MIN(MAX(J102,-$H$1),$H$1)</f>
        <v/>
      </c>
      <c r="L102">
        <f>AI101</f>
        <v/>
      </c>
      <c r="M102">
        <f>AJ101</f>
        <v/>
      </c>
      <c r="N102">
        <f>AK101</f>
        <v/>
      </c>
      <c r="O102">
        <f>N102+L102*(F102-M102)*$H$2</f>
        <v/>
      </c>
      <c r="P102">
        <f>K102*O102</f>
        <v/>
      </c>
      <c r="Q102">
        <f>F102*$H$2</f>
        <v/>
      </c>
      <c r="R102">
        <f>INT(P102/Q102)</f>
        <v/>
      </c>
      <c r="S102">
        <f>R102-L102</f>
        <v/>
      </c>
      <c r="T102">
        <f>IF(S102&gt;0,"BUY",IF(S102&lt;0,"SELL","HOLD"))</f>
        <v/>
      </c>
      <c r="U102">
        <f>IF(S102=0,0,F102+IF(S102&gt;0,$F$2,-$F$2))</f>
        <v/>
      </c>
      <c r="V102">
        <f>AND(L102=0,S102&lt;&gt;0)</f>
        <v/>
      </c>
      <c r="W102">
        <f>AND(S102&lt;&gt;0,SIGN(L102+S102)=SIGN(L102),ABS(L102+S102)&gt;ABS(L102),L102&lt;&gt;0)</f>
        <v/>
      </c>
      <c r="X102">
        <f>AND(S102&lt;&gt;0,SIGN(L102+S102)=SIGN(L102),ABS(L102+S102)&lt;ABS(L102))</f>
        <v/>
      </c>
      <c r="Y102">
        <f>AND(S102&lt;&gt;0,L102+S102=0)</f>
        <v/>
      </c>
      <c r="Z102">
        <f>AND(S102&lt;&gt;0,SIGN(L102+S102)&lt;&gt;SIGN(L102),L102+S102&lt;&gt;0,L102&lt;&gt;0)</f>
        <v/>
      </c>
      <c r="AA102">
        <f>IF(OR(X102,Y102),ABS(S102),IF(Z102,ABS(L102),0))</f>
        <v/>
      </c>
      <c r="AB102">
        <f>AA102*(U102-M102)*$H$2*IF(L102&lt;0,-1,1)</f>
        <v/>
      </c>
      <c r="AC102">
        <f>IF(W102,ABS(L102)*M102+ABS(S102)*U102,0)</f>
        <v/>
      </c>
      <c r="AD102">
        <f>IF(W102,ABS(L102+S102),0)</f>
        <v/>
      </c>
      <c r="AE102">
        <f>IF(V102,U102,IF(W102,AC102/AD102,IF(OR(X102,Y102),IF(Y102,0,M102),IF(Z102,U102,M102))))</f>
        <v/>
      </c>
      <c r="AF102">
        <f>AB102</f>
        <v/>
      </c>
      <c r="AG102">
        <f>ABS(S102)*$D$2</f>
        <v/>
      </c>
      <c r="AH102">
        <f>AF102-AG102</f>
        <v/>
      </c>
      <c r="AI102">
        <f>L102+S102</f>
        <v/>
      </c>
      <c r="AJ102">
        <f>AE102</f>
        <v/>
      </c>
      <c r="AK102">
        <f>N102+AH102</f>
        <v/>
      </c>
      <c r="AL102">
        <f>AI102*(F102-AJ102)*$H$2</f>
        <v/>
      </c>
      <c r="AM102">
        <f>AK102+AL102</f>
        <v/>
      </c>
      <c r="AN102">
        <f>MAX(AN101,AM102)</f>
        <v/>
      </c>
      <c r="AO102">
        <f>(AN102-AM102)/AN102*100</f>
        <v/>
      </c>
    </row>
    <row r="103">
      <c r="A103" t="n">
        <v>98</v>
      </c>
      <c r="B103" s="4" t="n">
        <v>45973.30208333334</v>
      </c>
      <c r="C103" t="n">
        <v>6957.5</v>
      </c>
      <c r="D103" t="n">
        <v>6958.5</v>
      </c>
      <c r="E103" t="n">
        <v>6954</v>
      </c>
      <c r="F103" t="n">
        <v>6955</v>
      </c>
      <c r="G103" t="n">
        <v>3205</v>
      </c>
      <c r="H103">
        <f>F103-C103</f>
        <v/>
      </c>
      <c r="I103">
        <f>AVERAGE(H96:H100)</f>
        <v/>
      </c>
      <c r="J103">
        <f>I103+$F$1</f>
        <v/>
      </c>
      <c r="K103">
        <f>MIN(MAX(J103,-$H$1),$H$1)</f>
        <v/>
      </c>
      <c r="L103">
        <f>AI102</f>
        <v/>
      </c>
      <c r="M103">
        <f>AJ102</f>
        <v/>
      </c>
      <c r="N103">
        <f>AK102</f>
        <v/>
      </c>
      <c r="O103">
        <f>N103+L103*(F103-M103)*$H$2</f>
        <v/>
      </c>
      <c r="P103">
        <f>K103*O103</f>
        <v/>
      </c>
      <c r="Q103">
        <f>F103*$H$2</f>
        <v/>
      </c>
      <c r="R103">
        <f>INT(P103/Q103)</f>
        <v/>
      </c>
      <c r="S103">
        <f>R103-L103</f>
        <v/>
      </c>
      <c r="T103">
        <f>IF(S103&gt;0,"BUY",IF(S103&lt;0,"SELL","HOLD"))</f>
        <v/>
      </c>
      <c r="U103">
        <f>IF(S103=0,0,F103+IF(S103&gt;0,$F$2,-$F$2))</f>
        <v/>
      </c>
      <c r="V103">
        <f>AND(L103=0,S103&lt;&gt;0)</f>
        <v/>
      </c>
      <c r="W103">
        <f>AND(S103&lt;&gt;0,SIGN(L103+S103)=SIGN(L103),ABS(L103+S103)&gt;ABS(L103),L103&lt;&gt;0)</f>
        <v/>
      </c>
      <c r="X103">
        <f>AND(S103&lt;&gt;0,SIGN(L103+S103)=SIGN(L103),ABS(L103+S103)&lt;ABS(L103))</f>
        <v/>
      </c>
      <c r="Y103">
        <f>AND(S103&lt;&gt;0,L103+S103=0)</f>
        <v/>
      </c>
      <c r="Z103">
        <f>AND(S103&lt;&gt;0,SIGN(L103+S103)&lt;&gt;SIGN(L103),L103+S103&lt;&gt;0,L103&lt;&gt;0)</f>
        <v/>
      </c>
      <c r="AA103">
        <f>IF(OR(X103,Y103),ABS(S103),IF(Z103,ABS(L103),0))</f>
        <v/>
      </c>
      <c r="AB103">
        <f>AA103*(U103-M103)*$H$2*IF(L103&lt;0,-1,1)</f>
        <v/>
      </c>
      <c r="AC103">
        <f>IF(W103,ABS(L103)*M103+ABS(S103)*U103,0)</f>
        <v/>
      </c>
      <c r="AD103">
        <f>IF(W103,ABS(L103+S103),0)</f>
        <v/>
      </c>
      <c r="AE103">
        <f>IF(V103,U103,IF(W103,AC103/AD103,IF(OR(X103,Y103),IF(Y103,0,M103),IF(Z103,U103,M103))))</f>
        <v/>
      </c>
      <c r="AF103">
        <f>AB103</f>
        <v/>
      </c>
      <c r="AG103">
        <f>ABS(S103)*$D$2</f>
        <v/>
      </c>
      <c r="AH103">
        <f>AF103-AG103</f>
        <v/>
      </c>
      <c r="AI103">
        <f>L103+S103</f>
        <v/>
      </c>
      <c r="AJ103">
        <f>AE103</f>
        <v/>
      </c>
      <c r="AK103">
        <f>N103+AH103</f>
        <v/>
      </c>
      <c r="AL103">
        <f>AI103*(F103-AJ103)*$H$2</f>
        <v/>
      </c>
      <c r="AM103">
        <f>AK103+AL103</f>
        <v/>
      </c>
      <c r="AN103">
        <f>MAX(AN102,AM103)</f>
        <v/>
      </c>
      <c r="AO103">
        <f>(AN103-AM103)/AN103*100</f>
        <v/>
      </c>
    </row>
    <row r="104">
      <c r="A104" t="n">
        <v>99</v>
      </c>
      <c r="B104" s="4" t="n">
        <v>45974.30208333334</v>
      </c>
      <c r="C104" t="n">
        <v>6925.25</v>
      </c>
      <c r="D104" t="n">
        <v>6926.75</v>
      </c>
      <c r="E104" t="n">
        <v>6916.5</v>
      </c>
      <c r="F104" t="n">
        <v>6922.25</v>
      </c>
      <c r="G104" t="n">
        <v>5361</v>
      </c>
      <c r="H104">
        <f>F104-C104</f>
        <v/>
      </c>
      <c r="I104">
        <f>AVERAGE(H97:H101)</f>
        <v/>
      </c>
      <c r="J104">
        <f>I104+$F$1</f>
        <v/>
      </c>
      <c r="K104">
        <f>MIN(MAX(J104,-$H$1),$H$1)</f>
        <v/>
      </c>
      <c r="L104">
        <f>AI103</f>
        <v/>
      </c>
      <c r="M104">
        <f>AJ103</f>
        <v/>
      </c>
      <c r="N104">
        <f>AK103</f>
        <v/>
      </c>
      <c r="O104">
        <f>N104+L104*(F104-M104)*$H$2</f>
        <v/>
      </c>
      <c r="P104">
        <f>K104*O104</f>
        <v/>
      </c>
      <c r="Q104">
        <f>F104*$H$2</f>
        <v/>
      </c>
      <c r="R104">
        <f>INT(P104/Q104)</f>
        <v/>
      </c>
      <c r="S104">
        <f>R104-L104</f>
        <v/>
      </c>
      <c r="T104">
        <f>IF(S104&gt;0,"BUY",IF(S104&lt;0,"SELL","HOLD"))</f>
        <v/>
      </c>
      <c r="U104">
        <f>IF(S104=0,0,F104+IF(S104&gt;0,$F$2,-$F$2))</f>
        <v/>
      </c>
      <c r="V104">
        <f>AND(L104=0,S104&lt;&gt;0)</f>
        <v/>
      </c>
      <c r="W104">
        <f>AND(S104&lt;&gt;0,SIGN(L104+S104)=SIGN(L104),ABS(L104+S104)&gt;ABS(L104),L104&lt;&gt;0)</f>
        <v/>
      </c>
      <c r="X104">
        <f>AND(S104&lt;&gt;0,SIGN(L104+S104)=SIGN(L104),ABS(L104+S104)&lt;ABS(L104))</f>
        <v/>
      </c>
      <c r="Y104">
        <f>AND(S104&lt;&gt;0,L104+S104=0)</f>
        <v/>
      </c>
      <c r="Z104">
        <f>AND(S104&lt;&gt;0,SIGN(L104+S104)&lt;&gt;SIGN(L104),L104+S104&lt;&gt;0,L104&lt;&gt;0)</f>
        <v/>
      </c>
      <c r="AA104">
        <f>IF(OR(X104,Y104),ABS(S104),IF(Z104,ABS(L104),0))</f>
        <v/>
      </c>
      <c r="AB104">
        <f>AA104*(U104-M104)*$H$2*IF(L104&lt;0,-1,1)</f>
        <v/>
      </c>
      <c r="AC104">
        <f>IF(W104,ABS(L104)*M104+ABS(S104)*U104,0)</f>
        <v/>
      </c>
      <c r="AD104">
        <f>IF(W104,ABS(L104+S104),0)</f>
        <v/>
      </c>
      <c r="AE104">
        <f>IF(V104,U104,IF(W104,AC104/AD104,IF(OR(X104,Y104),IF(Y104,0,M104),IF(Z104,U104,M104))))</f>
        <v/>
      </c>
      <c r="AF104">
        <f>AB104</f>
        <v/>
      </c>
      <c r="AG104">
        <f>ABS(S104)*$D$2</f>
        <v/>
      </c>
      <c r="AH104">
        <f>AF104-AG104</f>
        <v/>
      </c>
      <c r="AI104">
        <f>L104+S104</f>
        <v/>
      </c>
      <c r="AJ104">
        <f>AE104</f>
        <v/>
      </c>
      <c r="AK104">
        <f>N104+AH104</f>
        <v/>
      </c>
      <c r="AL104">
        <f>AI104*(F104-AJ104)*$H$2</f>
        <v/>
      </c>
      <c r="AM104">
        <f>AK104+AL104</f>
        <v/>
      </c>
      <c r="AN104">
        <f>MAX(AN103,AM104)</f>
        <v/>
      </c>
      <c r="AO104">
        <f>(AN104-AM104)/AN104*100</f>
        <v/>
      </c>
    </row>
    <row r="105">
      <c r="A105" t="n">
        <v>100</v>
      </c>
      <c r="B105" s="4" t="n">
        <v>45975.30208333334</v>
      </c>
      <c r="C105" t="n">
        <v>6756.5</v>
      </c>
      <c r="D105" t="n">
        <v>6756.75</v>
      </c>
      <c r="E105" t="n">
        <v>6739.75</v>
      </c>
      <c r="F105" t="n">
        <v>6746.75</v>
      </c>
      <c r="G105" t="n">
        <v>15665</v>
      </c>
      <c r="H105">
        <f>F105-C105</f>
        <v/>
      </c>
      <c r="I105">
        <f>AVERAGE(H98:H102)</f>
        <v/>
      </c>
      <c r="J105">
        <f>I105+$F$1</f>
        <v/>
      </c>
      <c r="K105">
        <f>MIN(MAX(J105,-$H$1),$H$1)</f>
        <v/>
      </c>
      <c r="L105">
        <f>AI104</f>
        <v/>
      </c>
      <c r="M105">
        <f>AJ104</f>
        <v/>
      </c>
      <c r="N105">
        <f>AK104</f>
        <v/>
      </c>
      <c r="O105">
        <f>N105+L105*(F105-M105)*$H$2</f>
        <v/>
      </c>
      <c r="P105">
        <f>K105*O105</f>
        <v/>
      </c>
      <c r="Q105">
        <f>F105*$H$2</f>
        <v/>
      </c>
      <c r="R105">
        <f>INT(P105/Q105)</f>
        <v/>
      </c>
      <c r="S105">
        <f>R105-L105</f>
        <v/>
      </c>
      <c r="T105">
        <f>IF(S105&gt;0,"BUY",IF(S105&lt;0,"SELL","HOLD"))</f>
        <v/>
      </c>
      <c r="U105">
        <f>IF(S105=0,0,F105+IF(S105&gt;0,$F$2,-$F$2))</f>
        <v/>
      </c>
      <c r="V105">
        <f>AND(L105=0,S105&lt;&gt;0)</f>
        <v/>
      </c>
      <c r="W105">
        <f>AND(S105&lt;&gt;0,SIGN(L105+S105)=SIGN(L105),ABS(L105+S105)&gt;ABS(L105),L105&lt;&gt;0)</f>
        <v/>
      </c>
      <c r="X105">
        <f>AND(S105&lt;&gt;0,SIGN(L105+S105)=SIGN(L105),ABS(L105+S105)&lt;ABS(L105))</f>
        <v/>
      </c>
      <c r="Y105">
        <f>AND(S105&lt;&gt;0,L105+S105=0)</f>
        <v/>
      </c>
      <c r="Z105">
        <f>AND(S105&lt;&gt;0,SIGN(L105+S105)&lt;&gt;SIGN(L105),L105+S105&lt;&gt;0,L105&lt;&gt;0)</f>
        <v/>
      </c>
      <c r="AA105">
        <f>IF(OR(X105,Y105),ABS(S105),IF(Z105,ABS(L105),0))</f>
        <v/>
      </c>
      <c r="AB105">
        <f>AA105*(U105-M105)*$H$2*IF(L105&lt;0,-1,1)</f>
        <v/>
      </c>
      <c r="AC105">
        <f>IF(W105,ABS(L105)*M105+ABS(S105)*U105,0)</f>
        <v/>
      </c>
      <c r="AD105">
        <f>IF(W105,ABS(L105+S105),0)</f>
        <v/>
      </c>
      <c r="AE105">
        <f>IF(V105,U105,IF(W105,AC105/AD105,IF(OR(X105,Y105),IF(Y105,0,M105),IF(Z105,U105,M105))))</f>
        <v/>
      </c>
      <c r="AF105">
        <f>AB105</f>
        <v/>
      </c>
      <c r="AG105">
        <f>ABS(S105)*$D$2</f>
        <v/>
      </c>
      <c r="AH105">
        <f>AF105-AG105</f>
        <v/>
      </c>
      <c r="AI105">
        <f>L105+S105</f>
        <v/>
      </c>
      <c r="AJ105">
        <f>AE105</f>
        <v/>
      </c>
      <c r="AK105">
        <f>N105+AH105</f>
        <v/>
      </c>
      <c r="AL105">
        <f>AI105*(F105-AJ105)*$H$2</f>
        <v/>
      </c>
      <c r="AM105">
        <f>AK105+AL105</f>
        <v/>
      </c>
      <c r="AN105">
        <f>MAX(AN104,AM105)</f>
        <v/>
      </c>
      <c r="AO105">
        <f>(AN105-AM105)/AN105*100</f>
        <v/>
      </c>
    </row>
    <row r="106">
      <c r="A106" t="n">
        <v>101</v>
      </c>
      <c r="B106" s="4" t="n">
        <v>45978.30208333334</v>
      </c>
      <c r="C106" t="n">
        <v>6806.75</v>
      </c>
      <c r="D106" t="n">
        <v>6815</v>
      </c>
      <c r="E106" t="n">
        <v>6806.5</v>
      </c>
      <c r="F106" t="n">
        <v>6811.25</v>
      </c>
      <c r="G106" t="n">
        <v>6294</v>
      </c>
      <c r="H106">
        <f>F106-C106</f>
        <v/>
      </c>
      <c r="I106">
        <f>AVERAGE(H99:H103)</f>
        <v/>
      </c>
      <c r="J106">
        <f>I106+$F$1</f>
        <v/>
      </c>
      <c r="K106">
        <f>MIN(MAX(J106,-$H$1),$H$1)</f>
        <v/>
      </c>
      <c r="L106">
        <f>AI105</f>
        <v/>
      </c>
      <c r="M106">
        <f>AJ105</f>
        <v/>
      </c>
      <c r="N106">
        <f>AK105</f>
        <v/>
      </c>
      <c r="O106">
        <f>N106+L106*(F106-M106)*$H$2</f>
        <v/>
      </c>
      <c r="P106">
        <f>K106*O106</f>
        <v/>
      </c>
      <c r="Q106">
        <f>F106*$H$2</f>
        <v/>
      </c>
      <c r="R106">
        <f>INT(P106/Q106)</f>
        <v/>
      </c>
      <c r="S106">
        <f>R106-L106</f>
        <v/>
      </c>
      <c r="T106">
        <f>IF(S106&gt;0,"BUY",IF(S106&lt;0,"SELL","HOLD"))</f>
        <v/>
      </c>
      <c r="U106">
        <f>IF(S106=0,0,F106+IF(S106&gt;0,$F$2,-$F$2))</f>
        <v/>
      </c>
      <c r="V106">
        <f>AND(L106=0,S106&lt;&gt;0)</f>
        <v/>
      </c>
      <c r="W106">
        <f>AND(S106&lt;&gt;0,SIGN(L106+S106)=SIGN(L106),ABS(L106+S106)&gt;ABS(L106),L106&lt;&gt;0)</f>
        <v/>
      </c>
      <c r="X106">
        <f>AND(S106&lt;&gt;0,SIGN(L106+S106)=SIGN(L106),ABS(L106+S106)&lt;ABS(L106))</f>
        <v/>
      </c>
      <c r="Y106">
        <f>AND(S106&lt;&gt;0,L106+S106=0)</f>
        <v/>
      </c>
      <c r="Z106">
        <f>AND(S106&lt;&gt;0,SIGN(L106+S106)&lt;&gt;SIGN(L106),L106+S106&lt;&gt;0,L106&lt;&gt;0)</f>
        <v/>
      </c>
      <c r="AA106">
        <f>IF(OR(X106,Y106),ABS(S106),IF(Z106,ABS(L106),0))</f>
        <v/>
      </c>
      <c r="AB106">
        <f>AA106*(U106-M106)*$H$2*IF(L106&lt;0,-1,1)</f>
        <v/>
      </c>
      <c r="AC106">
        <f>IF(W106,ABS(L106)*M106+ABS(S106)*U106,0)</f>
        <v/>
      </c>
      <c r="AD106">
        <f>IF(W106,ABS(L106+S106),0)</f>
        <v/>
      </c>
      <c r="AE106">
        <f>IF(V106,U106,IF(W106,AC106/AD106,IF(OR(X106,Y106),IF(Y106,0,M106),IF(Z106,U106,M106))))</f>
        <v/>
      </c>
      <c r="AF106">
        <f>AB106</f>
        <v/>
      </c>
      <c r="AG106">
        <f>ABS(S106)*$D$2</f>
        <v/>
      </c>
      <c r="AH106">
        <f>AF106-AG106</f>
        <v/>
      </c>
      <c r="AI106">
        <f>L106+S106</f>
        <v/>
      </c>
      <c r="AJ106">
        <f>AE106</f>
        <v/>
      </c>
      <c r="AK106">
        <f>N106+AH106</f>
        <v/>
      </c>
      <c r="AL106">
        <f>AI106*(F106-AJ106)*$H$2</f>
        <v/>
      </c>
      <c r="AM106">
        <f>AK106+AL106</f>
        <v/>
      </c>
      <c r="AN106">
        <f>MAX(AN105,AM106)</f>
        <v/>
      </c>
      <c r="AO106">
        <f>(AN106-AM106)/AN106*100</f>
        <v/>
      </c>
    </row>
    <row r="107">
      <c r="A107" t="n">
        <v>102</v>
      </c>
      <c r="B107" s="4" t="n">
        <v>45979.30208333334</v>
      </c>
      <c r="C107" t="n">
        <v>6719.75</v>
      </c>
      <c r="D107" t="n">
        <v>6723.5</v>
      </c>
      <c r="E107" t="n">
        <v>6713.5</v>
      </c>
      <c r="F107" t="n">
        <v>6715.5</v>
      </c>
      <c r="G107" t="n">
        <v>8195</v>
      </c>
      <c r="H107">
        <f>F107-C107</f>
        <v/>
      </c>
      <c r="I107">
        <f>AVERAGE(H100:H104)</f>
        <v/>
      </c>
      <c r="J107">
        <f>I107+$F$1</f>
        <v/>
      </c>
      <c r="K107">
        <f>MIN(MAX(J107,-$H$1),$H$1)</f>
        <v/>
      </c>
      <c r="L107">
        <f>AI106</f>
        <v/>
      </c>
      <c r="M107">
        <f>AJ106</f>
        <v/>
      </c>
      <c r="N107">
        <f>AK106</f>
        <v/>
      </c>
      <c r="O107">
        <f>N107+L107*(F107-M107)*$H$2</f>
        <v/>
      </c>
      <c r="P107">
        <f>K107*O107</f>
        <v/>
      </c>
      <c r="Q107">
        <f>F107*$H$2</f>
        <v/>
      </c>
      <c r="R107">
        <f>INT(P107/Q107)</f>
        <v/>
      </c>
      <c r="S107">
        <f>R107-L107</f>
        <v/>
      </c>
      <c r="T107">
        <f>IF(S107&gt;0,"BUY",IF(S107&lt;0,"SELL","HOLD"))</f>
        <v/>
      </c>
      <c r="U107">
        <f>IF(S107=0,0,F107+IF(S107&gt;0,$F$2,-$F$2))</f>
        <v/>
      </c>
      <c r="V107">
        <f>AND(L107=0,S107&lt;&gt;0)</f>
        <v/>
      </c>
      <c r="W107">
        <f>AND(S107&lt;&gt;0,SIGN(L107+S107)=SIGN(L107),ABS(L107+S107)&gt;ABS(L107),L107&lt;&gt;0)</f>
        <v/>
      </c>
      <c r="X107">
        <f>AND(S107&lt;&gt;0,SIGN(L107+S107)=SIGN(L107),ABS(L107+S107)&lt;ABS(L107))</f>
        <v/>
      </c>
      <c r="Y107">
        <f>AND(S107&lt;&gt;0,L107+S107=0)</f>
        <v/>
      </c>
      <c r="Z107">
        <f>AND(S107&lt;&gt;0,SIGN(L107+S107)&lt;&gt;SIGN(L107),L107+S107&lt;&gt;0,L107&lt;&gt;0)</f>
        <v/>
      </c>
      <c r="AA107">
        <f>IF(OR(X107,Y107),ABS(S107),IF(Z107,ABS(L107),0))</f>
        <v/>
      </c>
      <c r="AB107">
        <f>AA107*(U107-M107)*$H$2*IF(L107&lt;0,-1,1)</f>
        <v/>
      </c>
      <c r="AC107">
        <f>IF(W107,ABS(L107)*M107+ABS(S107)*U107,0)</f>
        <v/>
      </c>
      <c r="AD107">
        <f>IF(W107,ABS(L107+S107),0)</f>
        <v/>
      </c>
      <c r="AE107">
        <f>IF(V107,U107,IF(W107,AC107/AD107,IF(OR(X107,Y107),IF(Y107,0,M107),IF(Z107,U107,M107))))</f>
        <v/>
      </c>
      <c r="AF107">
        <f>AB107</f>
        <v/>
      </c>
      <c r="AG107">
        <f>ABS(S107)*$D$2</f>
        <v/>
      </c>
      <c r="AH107">
        <f>AF107-AG107</f>
        <v/>
      </c>
      <c r="AI107">
        <f>L107+S107</f>
        <v/>
      </c>
      <c r="AJ107">
        <f>AE107</f>
        <v/>
      </c>
      <c r="AK107">
        <f>N107+AH107</f>
        <v/>
      </c>
      <c r="AL107">
        <f>AI107*(F107-AJ107)*$H$2</f>
        <v/>
      </c>
      <c r="AM107">
        <f>AK107+AL107</f>
        <v/>
      </c>
      <c r="AN107">
        <f>MAX(AN106,AM107)</f>
        <v/>
      </c>
      <c r="AO107">
        <f>(AN107-AM107)/AN107*100</f>
        <v/>
      </c>
    </row>
    <row r="108">
      <c r="A108" t="n">
        <v>103</v>
      </c>
      <c r="B108" s="4" t="n">
        <v>45980.30208333334</v>
      </c>
      <c r="C108" t="n">
        <v>6710</v>
      </c>
      <c r="D108" t="n">
        <v>6716.75</v>
      </c>
      <c r="E108" t="n">
        <v>6709</v>
      </c>
      <c r="F108" t="n">
        <v>6716.5</v>
      </c>
      <c r="G108" t="n">
        <v>6090</v>
      </c>
      <c r="H108">
        <f>F108-C108</f>
        <v/>
      </c>
      <c r="I108">
        <f>AVERAGE(H101:H105)</f>
        <v/>
      </c>
      <c r="J108">
        <f>I108+$F$1</f>
        <v/>
      </c>
      <c r="K108">
        <f>MIN(MAX(J108,-$H$1),$H$1)</f>
        <v/>
      </c>
      <c r="L108">
        <f>AI107</f>
        <v/>
      </c>
      <c r="M108">
        <f>AJ107</f>
        <v/>
      </c>
      <c r="N108">
        <f>AK107</f>
        <v/>
      </c>
      <c r="O108">
        <f>N108+L108*(F108-M108)*$H$2</f>
        <v/>
      </c>
      <c r="P108">
        <f>K108*O108</f>
        <v/>
      </c>
      <c r="Q108">
        <f>F108*$H$2</f>
        <v/>
      </c>
      <c r="R108">
        <f>INT(P108/Q108)</f>
        <v/>
      </c>
      <c r="S108">
        <f>R108-L108</f>
        <v/>
      </c>
      <c r="T108">
        <f>IF(S108&gt;0,"BUY",IF(S108&lt;0,"SELL","HOLD"))</f>
        <v/>
      </c>
      <c r="U108">
        <f>IF(S108=0,0,F108+IF(S108&gt;0,$F$2,-$F$2))</f>
        <v/>
      </c>
      <c r="V108">
        <f>AND(L108=0,S108&lt;&gt;0)</f>
        <v/>
      </c>
      <c r="W108">
        <f>AND(S108&lt;&gt;0,SIGN(L108+S108)=SIGN(L108),ABS(L108+S108)&gt;ABS(L108),L108&lt;&gt;0)</f>
        <v/>
      </c>
      <c r="X108">
        <f>AND(S108&lt;&gt;0,SIGN(L108+S108)=SIGN(L108),ABS(L108+S108)&lt;ABS(L108))</f>
        <v/>
      </c>
      <c r="Y108">
        <f>AND(S108&lt;&gt;0,L108+S108=0)</f>
        <v/>
      </c>
      <c r="Z108">
        <f>AND(S108&lt;&gt;0,SIGN(L108+S108)&lt;&gt;SIGN(L108),L108+S108&lt;&gt;0,L108&lt;&gt;0)</f>
        <v/>
      </c>
      <c r="AA108">
        <f>IF(OR(X108,Y108),ABS(S108),IF(Z108,ABS(L108),0))</f>
        <v/>
      </c>
      <c r="AB108">
        <f>AA108*(U108-M108)*$H$2*IF(L108&lt;0,-1,1)</f>
        <v/>
      </c>
      <c r="AC108">
        <f>IF(W108,ABS(L108)*M108+ABS(S108)*U108,0)</f>
        <v/>
      </c>
      <c r="AD108">
        <f>IF(W108,ABS(L108+S108),0)</f>
        <v/>
      </c>
      <c r="AE108">
        <f>IF(V108,U108,IF(W108,AC108/AD108,IF(OR(X108,Y108),IF(Y108,0,M108),IF(Z108,U108,M108))))</f>
        <v/>
      </c>
      <c r="AF108">
        <f>AB108</f>
        <v/>
      </c>
      <c r="AG108">
        <f>ABS(S108)*$D$2</f>
        <v/>
      </c>
      <c r="AH108">
        <f>AF108-AG108</f>
        <v/>
      </c>
      <c r="AI108">
        <f>L108+S108</f>
        <v/>
      </c>
      <c r="AJ108">
        <f>AE108</f>
        <v/>
      </c>
      <c r="AK108">
        <f>N108+AH108</f>
        <v/>
      </c>
      <c r="AL108">
        <f>AI108*(F108-AJ108)*$H$2</f>
        <v/>
      </c>
      <c r="AM108">
        <f>AK108+AL108</f>
        <v/>
      </c>
      <c r="AN108">
        <f>MAX(AN107,AM108)</f>
        <v/>
      </c>
      <c r="AO108">
        <f>(AN108-AM108)/AN108*100</f>
        <v/>
      </c>
    </row>
    <row r="109">
      <c r="A109" t="n">
        <v>104</v>
      </c>
      <c r="B109" s="4" t="n">
        <v>45981.30208333334</v>
      </c>
      <c r="C109" t="n">
        <v>6806.75</v>
      </c>
      <c r="D109" t="n">
        <v>6808.25</v>
      </c>
      <c r="E109" t="n">
        <v>6796</v>
      </c>
      <c r="F109" t="n">
        <v>6799.25</v>
      </c>
      <c r="G109" t="n">
        <v>9847</v>
      </c>
      <c r="H109">
        <f>F109-C109</f>
        <v/>
      </c>
      <c r="I109">
        <f>AVERAGE(H102:H106)</f>
        <v/>
      </c>
      <c r="J109">
        <f>I109+$F$1</f>
        <v/>
      </c>
      <c r="K109">
        <f>MIN(MAX(J109,-$H$1),$H$1)</f>
        <v/>
      </c>
      <c r="L109">
        <f>AI108</f>
        <v/>
      </c>
      <c r="M109">
        <f>AJ108</f>
        <v/>
      </c>
      <c r="N109">
        <f>AK108</f>
        <v/>
      </c>
      <c r="O109">
        <f>N109+L109*(F109-M109)*$H$2</f>
        <v/>
      </c>
      <c r="P109">
        <f>K109*O109</f>
        <v/>
      </c>
      <c r="Q109">
        <f>F109*$H$2</f>
        <v/>
      </c>
      <c r="R109">
        <f>INT(P109/Q109)</f>
        <v/>
      </c>
      <c r="S109">
        <f>R109-L109</f>
        <v/>
      </c>
      <c r="T109">
        <f>IF(S109&gt;0,"BUY",IF(S109&lt;0,"SELL","HOLD"))</f>
        <v/>
      </c>
      <c r="U109">
        <f>IF(S109=0,0,F109+IF(S109&gt;0,$F$2,-$F$2))</f>
        <v/>
      </c>
      <c r="V109">
        <f>AND(L109=0,S109&lt;&gt;0)</f>
        <v/>
      </c>
      <c r="W109">
        <f>AND(S109&lt;&gt;0,SIGN(L109+S109)=SIGN(L109),ABS(L109+S109)&gt;ABS(L109),L109&lt;&gt;0)</f>
        <v/>
      </c>
      <c r="X109">
        <f>AND(S109&lt;&gt;0,SIGN(L109+S109)=SIGN(L109),ABS(L109+S109)&lt;ABS(L109))</f>
        <v/>
      </c>
      <c r="Y109">
        <f>AND(S109&lt;&gt;0,L109+S109=0)</f>
        <v/>
      </c>
      <c r="Z109">
        <f>AND(S109&lt;&gt;0,SIGN(L109+S109)&lt;&gt;SIGN(L109),L109+S109&lt;&gt;0,L109&lt;&gt;0)</f>
        <v/>
      </c>
      <c r="AA109">
        <f>IF(OR(X109,Y109),ABS(S109),IF(Z109,ABS(L109),0))</f>
        <v/>
      </c>
      <c r="AB109">
        <f>AA109*(U109-M109)*$H$2*IF(L109&lt;0,-1,1)</f>
        <v/>
      </c>
      <c r="AC109">
        <f>IF(W109,ABS(L109)*M109+ABS(S109)*U109,0)</f>
        <v/>
      </c>
      <c r="AD109">
        <f>IF(W109,ABS(L109+S109),0)</f>
        <v/>
      </c>
      <c r="AE109">
        <f>IF(V109,U109,IF(W109,AC109/AD109,IF(OR(X109,Y109),IF(Y109,0,M109),IF(Z109,U109,M109))))</f>
        <v/>
      </c>
      <c r="AF109">
        <f>AB109</f>
        <v/>
      </c>
      <c r="AG109">
        <f>ABS(S109)*$D$2</f>
        <v/>
      </c>
      <c r="AH109">
        <f>AF109-AG109</f>
        <v/>
      </c>
      <c r="AI109">
        <f>L109+S109</f>
        <v/>
      </c>
      <c r="AJ109">
        <f>AE109</f>
        <v/>
      </c>
      <c r="AK109">
        <f>N109+AH109</f>
        <v/>
      </c>
      <c r="AL109">
        <f>AI109*(F109-AJ109)*$H$2</f>
        <v/>
      </c>
      <c r="AM109">
        <f>AK109+AL109</f>
        <v/>
      </c>
      <c r="AN109">
        <f>MAX(AN108,AM109)</f>
        <v/>
      </c>
      <c r="AO109">
        <f>(AN109-AM109)/AN109*100</f>
        <v/>
      </c>
    </row>
    <row r="110">
      <c r="A110" t="n">
        <v>105</v>
      </c>
      <c r="B110" s="4" t="n">
        <v>45982.30208333334</v>
      </c>
      <c r="C110" t="n">
        <v>6642.75</v>
      </c>
      <c r="D110" t="n">
        <v>6656.75</v>
      </c>
      <c r="E110" t="n">
        <v>6638.25</v>
      </c>
      <c r="F110" t="n">
        <v>6638.75</v>
      </c>
      <c r="G110" t="n">
        <v>19836</v>
      </c>
      <c r="H110">
        <f>F110-C110</f>
        <v/>
      </c>
      <c r="I110">
        <f>AVERAGE(H103:H107)</f>
        <v/>
      </c>
      <c r="J110">
        <f>I110+$F$1</f>
        <v/>
      </c>
      <c r="K110">
        <f>MIN(MAX(J110,-$H$1),$H$1)</f>
        <v/>
      </c>
      <c r="L110">
        <f>AI109</f>
        <v/>
      </c>
      <c r="M110">
        <f>AJ109</f>
        <v/>
      </c>
      <c r="N110">
        <f>AK109</f>
        <v/>
      </c>
      <c r="O110">
        <f>N110+L110*(F110-M110)*$H$2</f>
        <v/>
      </c>
      <c r="P110">
        <f>K110*O110</f>
        <v/>
      </c>
      <c r="Q110">
        <f>F110*$H$2</f>
        <v/>
      </c>
      <c r="R110">
        <f>INT(P110/Q110)</f>
        <v/>
      </c>
      <c r="S110">
        <f>R110-L110</f>
        <v/>
      </c>
      <c r="T110">
        <f>IF(S110&gt;0,"BUY",IF(S110&lt;0,"SELL","HOLD"))</f>
        <v/>
      </c>
      <c r="U110">
        <f>IF(S110=0,0,F110+IF(S110&gt;0,$F$2,-$F$2))</f>
        <v/>
      </c>
      <c r="V110">
        <f>AND(L110=0,S110&lt;&gt;0)</f>
        <v/>
      </c>
      <c r="W110">
        <f>AND(S110&lt;&gt;0,SIGN(L110+S110)=SIGN(L110),ABS(L110+S110)&gt;ABS(L110),L110&lt;&gt;0)</f>
        <v/>
      </c>
      <c r="X110">
        <f>AND(S110&lt;&gt;0,SIGN(L110+S110)=SIGN(L110),ABS(L110+S110)&lt;ABS(L110))</f>
        <v/>
      </c>
      <c r="Y110">
        <f>AND(S110&lt;&gt;0,L110+S110=0)</f>
        <v/>
      </c>
      <c r="Z110">
        <f>AND(S110&lt;&gt;0,SIGN(L110+S110)&lt;&gt;SIGN(L110),L110+S110&lt;&gt;0,L110&lt;&gt;0)</f>
        <v/>
      </c>
      <c r="AA110">
        <f>IF(OR(X110,Y110),ABS(S110),IF(Z110,ABS(L110),0))</f>
        <v/>
      </c>
      <c r="AB110">
        <f>AA110*(U110-M110)*$H$2*IF(L110&lt;0,-1,1)</f>
        <v/>
      </c>
      <c r="AC110">
        <f>IF(W110,ABS(L110)*M110+ABS(S110)*U110,0)</f>
        <v/>
      </c>
      <c r="AD110">
        <f>IF(W110,ABS(L110+S110),0)</f>
        <v/>
      </c>
      <c r="AE110">
        <f>IF(V110,U110,IF(W110,AC110/AD110,IF(OR(X110,Y110),IF(Y110,0,M110),IF(Z110,U110,M110))))</f>
        <v/>
      </c>
      <c r="AF110">
        <f>AB110</f>
        <v/>
      </c>
      <c r="AG110">
        <f>ABS(S110)*$D$2</f>
        <v/>
      </c>
      <c r="AH110">
        <f>AF110-AG110</f>
        <v/>
      </c>
      <c r="AI110">
        <f>L110+S110</f>
        <v/>
      </c>
      <c r="AJ110">
        <f>AE110</f>
        <v/>
      </c>
      <c r="AK110">
        <f>N110+AH110</f>
        <v/>
      </c>
      <c r="AL110">
        <f>AI110*(F110-AJ110)*$H$2</f>
        <v/>
      </c>
      <c r="AM110">
        <f>AK110+AL110</f>
        <v/>
      </c>
      <c r="AN110">
        <f>MAX(AN109,AM110)</f>
        <v/>
      </c>
      <c r="AO110">
        <f>(AN110-AM110)/AN110*100</f>
        <v/>
      </c>
    </row>
    <row r="111">
      <c r="A111" t="n">
        <v>106</v>
      </c>
      <c r="B111" s="4" t="n">
        <v>45985.30208333334</v>
      </c>
      <c r="C111" t="n">
        <v>6724.25</v>
      </c>
      <c r="D111" t="n">
        <v>6725.25</v>
      </c>
      <c r="E111" t="n">
        <v>6719</v>
      </c>
      <c r="F111" t="n">
        <v>6723</v>
      </c>
      <c r="G111" t="n">
        <v>6893</v>
      </c>
      <c r="H111">
        <f>F111-C111</f>
        <v/>
      </c>
      <c r="I111">
        <f>AVERAGE(H104:H108)</f>
        <v/>
      </c>
      <c r="J111">
        <f>I111+$F$1</f>
        <v/>
      </c>
      <c r="K111">
        <f>MIN(MAX(J111,-$H$1),$H$1)</f>
        <v/>
      </c>
      <c r="L111">
        <f>AI110</f>
        <v/>
      </c>
      <c r="M111">
        <f>AJ110</f>
        <v/>
      </c>
      <c r="N111">
        <f>AK110</f>
        <v/>
      </c>
      <c r="O111">
        <f>N111+L111*(F111-M111)*$H$2</f>
        <v/>
      </c>
      <c r="P111">
        <f>K111*O111</f>
        <v/>
      </c>
      <c r="Q111">
        <f>F111*$H$2</f>
        <v/>
      </c>
      <c r="R111">
        <f>INT(P111/Q111)</f>
        <v/>
      </c>
      <c r="S111">
        <f>R111-L111</f>
        <v/>
      </c>
      <c r="T111">
        <f>IF(S111&gt;0,"BUY",IF(S111&lt;0,"SELL","HOLD"))</f>
        <v/>
      </c>
      <c r="U111">
        <f>IF(S111=0,0,F111+IF(S111&gt;0,$F$2,-$F$2))</f>
        <v/>
      </c>
      <c r="V111">
        <f>AND(L111=0,S111&lt;&gt;0)</f>
        <v/>
      </c>
      <c r="W111">
        <f>AND(S111&lt;&gt;0,SIGN(L111+S111)=SIGN(L111),ABS(L111+S111)&gt;ABS(L111),L111&lt;&gt;0)</f>
        <v/>
      </c>
      <c r="X111">
        <f>AND(S111&lt;&gt;0,SIGN(L111+S111)=SIGN(L111),ABS(L111+S111)&lt;ABS(L111))</f>
        <v/>
      </c>
      <c r="Y111">
        <f>AND(S111&lt;&gt;0,L111+S111=0)</f>
        <v/>
      </c>
      <c r="Z111">
        <f>AND(S111&lt;&gt;0,SIGN(L111+S111)&lt;&gt;SIGN(L111),L111+S111&lt;&gt;0,L111&lt;&gt;0)</f>
        <v/>
      </c>
      <c r="AA111">
        <f>IF(OR(X111,Y111),ABS(S111),IF(Z111,ABS(L111),0))</f>
        <v/>
      </c>
      <c r="AB111">
        <f>AA111*(U111-M111)*$H$2*IF(L111&lt;0,-1,1)</f>
        <v/>
      </c>
      <c r="AC111">
        <f>IF(W111,ABS(L111)*M111+ABS(S111)*U111,0)</f>
        <v/>
      </c>
      <c r="AD111">
        <f>IF(W111,ABS(L111+S111),0)</f>
        <v/>
      </c>
      <c r="AE111">
        <f>IF(V111,U111,IF(W111,AC111/AD111,IF(OR(X111,Y111),IF(Y111,0,M111),IF(Z111,U111,M111))))</f>
        <v/>
      </c>
      <c r="AF111">
        <f>AB111</f>
        <v/>
      </c>
      <c r="AG111">
        <f>ABS(S111)*$D$2</f>
        <v/>
      </c>
      <c r="AH111">
        <f>AF111-AG111</f>
        <v/>
      </c>
      <c r="AI111">
        <f>L111+S111</f>
        <v/>
      </c>
      <c r="AJ111">
        <f>AE111</f>
        <v/>
      </c>
      <c r="AK111">
        <f>N111+AH111</f>
        <v/>
      </c>
      <c r="AL111">
        <f>AI111*(F111-AJ111)*$H$2</f>
        <v/>
      </c>
      <c r="AM111">
        <f>AK111+AL111</f>
        <v/>
      </c>
      <c r="AN111">
        <f>MAX(AN110,AM111)</f>
        <v/>
      </c>
      <c r="AO111">
        <f>(AN111-AM111)/AN111*100</f>
        <v/>
      </c>
    </row>
    <row r="112">
      <c r="A112" t="n">
        <v>107</v>
      </c>
      <c r="B112" s="4" t="n">
        <v>45986.30208333334</v>
      </c>
      <c r="C112" t="n">
        <v>6779.75</v>
      </c>
      <c r="D112" t="n">
        <v>6786.75</v>
      </c>
      <c r="E112" t="n">
        <v>6779.25</v>
      </c>
      <c r="F112" t="n">
        <v>6784.25</v>
      </c>
      <c r="G112" t="n">
        <v>6571</v>
      </c>
      <c r="H112">
        <f>F112-C112</f>
        <v/>
      </c>
      <c r="I112">
        <f>AVERAGE(H105:H109)</f>
        <v/>
      </c>
      <c r="J112">
        <f>I112+$F$1</f>
        <v/>
      </c>
      <c r="K112">
        <f>MIN(MAX(J112,-$H$1),$H$1)</f>
        <v/>
      </c>
      <c r="L112">
        <f>AI111</f>
        <v/>
      </c>
      <c r="M112">
        <f>AJ111</f>
        <v/>
      </c>
      <c r="N112">
        <f>AK111</f>
        <v/>
      </c>
      <c r="O112">
        <f>N112+L112*(F112-M112)*$H$2</f>
        <v/>
      </c>
      <c r="P112">
        <f>K112*O112</f>
        <v/>
      </c>
      <c r="Q112">
        <f>F112*$H$2</f>
        <v/>
      </c>
      <c r="R112">
        <f>INT(P112/Q112)</f>
        <v/>
      </c>
      <c r="S112">
        <f>R112-L112</f>
        <v/>
      </c>
      <c r="T112">
        <f>IF(S112&gt;0,"BUY",IF(S112&lt;0,"SELL","HOLD"))</f>
        <v/>
      </c>
      <c r="U112">
        <f>IF(S112=0,0,F112+IF(S112&gt;0,$F$2,-$F$2))</f>
        <v/>
      </c>
      <c r="V112">
        <f>AND(L112=0,S112&lt;&gt;0)</f>
        <v/>
      </c>
      <c r="W112">
        <f>AND(S112&lt;&gt;0,SIGN(L112+S112)=SIGN(L112),ABS(L112+S112)&gt;ABS(L112),L112&lt;&gt;0)</f>
        <v/>
      </c>
      <c r="X112">
        <f>AND(S112&lt;&gt;0,SIGN(L112+S112)=SIGN(L112),ABS(L112+S112)&lt;ABS(L112))</f>
        <v/>
      </c>
      <c r="Y112">
        <f>AND(S112&lt;&gt;0,L112+S112=0)</f>
        <v/>
      </c>
      <c r="Z112">
        <f>AND(S112&lt;&gt;0,SIGN(L112+S112)&lt;&gt;SIGN(L112),L112+S112&lt;&gt;0,L112&lt;&gt;0)</f>
        <v/>
      </c>
      <c r="AA112">
        <f>IF(OR(X112,Y112),ABS(S112),IF(Z112,ABS(L112),0))</f>
        <v/>
      </c>
      <c r="AB112">
        <f>AA112*(U112-M112)*$H$2*IF(L112&lt;0,-1,1)</f>
        <v/>
      </c>
      <c r="AC112">
        <f>IF(W112,ABS(L112)*M112+ABS(S112)*U112,0)</f>
        <v/>
      </c>
      <c r="AD112">
        <f>IF(W112,ABS(L112+S112),0)</f>
        <v/>
      </c>
      <c r="AE112">
        <f>IF(V112,U112,IF(W112,AC112/AD112,IF(OR(X112,Y112),IF(Y112,0,M112),IF(Z112,U112,M112))))</f>
        <v/>
      </c>
      <c r="AF112">
        <f>AB112</f>
        <v/>
      </c>
      <c r="AG112">
        <f>ABS(S112)*$D$2</f>
        <v/>
      </c>
      <c r="AH112">
        <f>AF112-AG112</f>
        <v/>
      </c>
      <c r="AI112">
        <f>L112+S112</f>
        <v/>
      </c>
      <c r="AJ112">
        <f>AE112</f>
        <v/>
      </c>
      <c r="AK112">
        <f>N112+AH112</f>
        <v/>
      </c>
      <c r="AL112">
        <f>AI112*(F112-AJ112)*$H$2</f>
        <v/>
      </c>
      <c r="AM112">
        <f>AK112+AL112</f>
        <v/>
      </c>
      <c r="AN112">
        <f>MAX(AN111,AM112)</f>
        <v/>
      </c>
      <c r="AO112">
        <f>(AN112-AM112)/AN112*100</f>
        <v/>
      </c>
    </row>
    <row r="113">
      <c r="A113" t="n">
        <v>108</v>
      </c>
      <c r="B113" s="4" t="n">
        <v>45987.30208333334</v>
      </c>
      <c r="C113" t="n">
        <v>6857.75</v>
      </c>
      <c r="D113" t="n">
        <v>6863</v>
      </c>
      <c r="E113" t="n">
        <v>6857.75</v>
      </c>
      <c r="F113" t="n">
        <v>6860.5</v>
      </c>
      <c r="G113" t="n">
        <v>4286</v>
      </c>
      <c r="H113">
        <f>F113-C113</f>
        <v/>
      </c>
      <c r="I113">
        <f>AVERAGE(H106:H110)</f>
        <v/>
      </c>
      <c r="J113">
        <f>I113+$F$1</f>
        <v/>
      </c>
      <c r="K113">
        <f>MIN(MAX(J113,-$H$1),$H$1)</f>
        <v/>
      </c>
      <c r="L113">
        <f>AI112</f>
        <v/>
      </c>
      <c r="M113">
        <f>AJ112</f>
        <v/>
      </c>
      <c r="N113">
        <f>AK112</f>
        <v/>
      </c>
      <c r="O113">
        <f>N113+L113*(F113-M113)*$H$2</f>
        <v/>
      </c>
      <c r="P113">
        <f>K113*O113</f>
        <v/>
      </c>
      <c r="Q113">
        <f>F113*$H$2</f>
        <v/>
      </c>
      <c r="R113">
        <f>INT(P113/Q113)</f>
        <v/>
      </c>
      <c r="S113">
        <f>R113-L113</f>
        <v/>
      </c>
      <c r="T113">
        <f>IF(S113&gt;0,"BUY",IF(S113&lt;0,"SELL","HOLD"))</f>
        <v/>
      </c>
      <c r="U113">
        <f>IF(S113=0,0,F113+IF(S113&gt;0,$F$2,-$F$2))</f>
        <v/>
      </c>
      <c r="V113">
        <f>AND(L113=0,S113&lt;&gt;0)</f>
        <v/>
      </c>
      <c r="W113">
        <f>AND(S113&lt;&gt;0,SIGN(L113+S113)=SIGN(L113),ABS(L113+S113)&gt;ABS(L113),L113&lt;&gt;0)</f>
        <v/>
      </c>
      <c r="X113">
        <f>AND(S113&lt;&gt;0,SIGN(L113+S113)=SIGN(L113),ABS(L113+S113)&lt;ABS(L113))</f>
        <v/>
      </c>
      <c r="Y113">
        <f>AND(S113&lt;&gt;0,L113+S113=0)</f>
        <v/>
      </c>
      <c r="Z113">
        <f>AND(S113&lt;&gt;0,SIGN(L113+S113)&lt;&gt;SIGN(L113),L113+S113&lt;&gt;0,L113&lt;&gt;0)</f>
        <v/>
      </c>
      <c r="AA113">
        <f>IF(OR(X113,Y113),ABS(S113),IF(Z113,ABS(L113),0))</f>
        <v/>
      </c>
      <c r="AB113">
        <f>AA113*(U113-M113)*$H$2*IF(L113&lt;0,-1,1)</f>
        <v/>
      </c>
      <c r="AC113">
        <f>IF(W113,ABS(L113)*M113+ABS(S113)*U113,0)</f>
        <v/>
      </c>
      <c r="AD113">
        <f>IF(W113,ABS(L113+S113),0)</f>
        <v/>
      </c>
      <c r="AE113">
        <f>IF(V113,U113,IF(W113,AC113/AD113,IF(OR(X113,Y113),IF(Y113,0,M113),IF(Z113,U113,M113))))</f>
        <v/>
      </c>
      <c r="AF113">
        <f>AB113</f>
        <v/>
      </c>
      <c r="AG113">
        <f>ABS(S113)*$D$2</f>
        <v/>
      </c>
      <c r="AH113">
        <f>AF113-AG113</f>
        <v/>
      </c>
      <c r="AI113">
        <f>L113+S113</f>
        <v/>
      </c>
      <c r="AJ113">
        <f>AE113</f>
        <v/>
      </c>
      <c r="AK113">
        <f>N113+AH113</f>
        <v/>
      </c>
      <c r="AL113">
        <f>AI113*(F113-AJ113)*$H$2</f>
        <v/>
      </c>
      <c r="AM113">
        <f>AK113+AL113</f>
        <v/>
      </c>
      <c r="AN113">
        <f>MAX(AN112,AM113)</f>
        <v/>
      </c>
      <c r="AO113">
        <f>(AN113-AM113)/AN113*100</f>
        <v/>
      </c>
    </row>
    <row r="114">
      <c r="A114" t="n">
        <v>109</v>
      </c>
      <c r="B114" s="4" t="n">
        <v>45988.30208333334</v>
      </c>
      <c r="C114" t="n">
        <v>6885</v>
      </c>
      <c r="D114" t="n">
        <v>6886.5</v>
      </c>
      <c r="E114" t="n">
        <v>6884.5</v>
      </c>
      <c r="F114" t="n">
        <v>6886.25</v>
      </c>
      <c r="G114" t="n">
        <v>1019</v>
      </c>
      <c r="H114">
        <f>F114-C114</f>
        <v/>
      </c>
      <c r="I114">
        <f>AVERAGE(H107:H111)</f>
        <v/>
      </c>
      <c r="J114">
        <f>I114+$F$1</f>
        <v/>
      </c>
      <c r="K114">
        <f>MIN(MAX(J114,-$H$1),$H$1)</f>
        <v/>
      </c>
      <c r="L114">
        <f>AI113</f>
        <v/>
      </c>
      <c r="M114">
        <f>AJ113</f>
        <v/>
      </c>
      <c r="N114">
        <f>AK113</f>
        <v/>
      </c>
      <c r="O114">
        <f>N114+L114*(F114-M114)*$H$2</f>
        <v/>
      </c>
      <c r="P114">
        <f>K114*O114</f>
        <v/>
      </c>
      <c r="Q114">
        <f>F114*$H$2</f>
        <v/>
      </c>
      <c r="R114">
        <f>INT(P114/Q114)</f>
        <v/>
      </c>
      <c r="S114">
        <f>R114-L114</f>
        <v/>
      </c>
      <c r="T114">
        <f>IF(S114&gt;0,"BUY",IF(S114&lt;0,"SELL","HOLD"))</f>
        <v/>
      </c>
      <c r="U114">
        <f>IF(S114=0,0,F114+IF(S114&gt;0,$F$2,-$F$2))</f>
        <v/>
      </c>
      <c r="V114">
        <f>AND(L114=0,S114&lt;&gt;0)</f>
        <v/>
      </c>
      <c r="W114">
        <f>AND(S114&lt;&gt;0,SIGN(L114+S114)=SIGN(L114),ABS(L114+S114)&gt;ABS(L114),L114&lt;&gt;0)</f>
        <v/>
      </c>
      <c r="X114">
        <f>AND(S114&lt;&gt;0,SIGN(L114+S114)=SIGN(L114),ABS(L114+S114)&lt;ABS(L114))</f>
        <v/>
      </c>
      <c r="Y114">
        <f>AND(S114&lt;&gt;0,L114+S114=0)</f>
        <v/>
      </c>
      <c r="Z114">
        <f>AND(S114&lt;&gt;0,SIGN(L114+S114)&lt;&gt;SIGN(L114),L114+S114&lt;&gt;0,L114&lt;&gt;0)</f>
        <v/>
      </c>
      <c r="AA114">
        <f>IF(OR(X114,Y114),ABS(S114),IF(Z114,ABS(L114),0))</f>
        <v/>
      </c>
      <c r="AB114">
        <f>AA114*(U114-M114)*$H$2*IF(L114&lt;0,-1,1)</f>
        <v/>
      </c>
      <c r="AC114">
        <f>IF(W114,ABS(L114)*M114+ABS(S114)*U114,0)</f>
        <v/>
      </c>
      <c r="AD114">
        <f>IF(W114,ABS(L114+S114),0)</f>
        <v/>
      </c>
      <c r="AE114">
        <f>IF(V114,U114,IF(W114,AC114/AD114,IF(OR(X114,Y114),IF(Y114,0,M114),IF(Z114,U114,M114))))</f>
        <v/>
      </c>
      <c r="AF114">
        <f>AB114</f>
        <v/>
      </c>
      <c r="AG114">
        <f>ABS(S114)*$D$2</f>
        <v/>
      </c>
      <c r="AH114">
        <f>AF114-AG114</f>
        <v/>
      </c>
      <c r="AI114">
        <f>L114+S114</f>
        <v/>
      </c>
      <c r="AJ114">
        <f>AE114</f>
        <v/>
      </c>
      <c r="AK114">
        <f>N114+AH114</f>
        <v/>
      </c>
      <c r="AL114">
        <f>AI114*(F114-AJ114)*$H$2</f>
        <v/>
      </c>
      <c r="AM114">
        <f>AK114+AL114</f>
        <v/>
      </c>
      <c r="AN114">
        <f>MAX(AN113,AM114)</f>
        <v/>
      </c>
      <c r="AO114">
        <f>(AN114-AM114)/AN114*100</f>
        <v/>
      </c>
    </row>
    <row r="115">
      <c r="A115" t="n">
        <v>110</v>
      </c>
      <c r="B115" s="4" t="n">
        <v>45989.30208333334</v>
      </c>
      <c r="C115" t="n">
        <v>6894.75</v>
      </c>
      <c r="D115" t="n">
        <v>6894.75</v>
      </c>
      <c r="E115" t="n">
        <v>6894.75</v>
      </c>
      <c r="F115" t="n">
        <v>6894.75</v>
      </c>
      <c r="G115" t="n">
        <v>0</v>
      </c>
      <c r="H115">
        <f>F115-C115</f>
        <v/>
      </c>
      <c r="I115">
        <f>AVERAGE(H108:H112)</f>
        <v/>
      </c>
      <c r="J115">
        <f>I115+$F$1</f>
        <v/>
      </c>
      <c r="K115">
        <f>MIN(MAX(J115,-$H$1),$H$1)</f>
        <v/>
      </c>
      <c r="L115">
        <f>AI114</f>
        <v/>
      </c>
      <c r="M115">
        <f>AJ114</f>
        <v/>
      </c>
      <c r="N115">
        <f>AK114</f>
        <v/>
      </c>
      <c r="O115">
        <f>N115+L115*(F115-M115)*$H$2</f>
        <v/>
      </c>
      <c r="P115">
        <f>K115*O115</f>
        <v/>
      </c>
      <c r="Q115">
        <f>F115*$H$2</f>
        <v/>
      </c>
      <c r="R115">
        <f>INT(P115/Q115)</f>
        <v/>
      </c>
      <c r="S115">
        <f>R115-L115</f>
        <v/>
      </c>
      <c r="T115">
        <f>IF(S115&gt;0,"BUY",IF(S115&lt;0,"SELL","HOLD"))</f>
        <v/>
      </c>
      <c r="U115">
        <f>IF(S115=0,0,F115+IF(S115&gt;0,$F$2,-$F$2))</f>
        <v/>
      </c>
      <c r="V115">
        <f>AND(L115=0,S115&lt;&gt;0)</f>
        <v/>
      </c>
      <c r="W115">
        <f>AND(S115&lt;&gt;0,SIGN(L115+S115)=SIGN(L115),ABS(L115+S115)&gt;ABS(L115),L115&lt;&gt;0)</f>
        <v/>
      </c>
      <c r="X115">
        <f>AND(S115&lt;&gt;0,SIGN(L115+S115)=SIGN(L115),ABS(L115+S115)&lt;ABS(L115))</f>
        <v/>
      </c>
      <c r="Y115">
        <f>AND(S115&lt;&gt;0,L115+S115=0)</f>
        <v/>
      </c>
      <c r="Z115">
        <f>AND(S115&lt;&gt;0,SIGN(L115+S115)&lt;&gt;SIGN(L115),L115+S115&lt;&gt;0,L115&lt;&gt;0)</f>
        <v/>
      </c>
      <c r="AA115">
        <f>IF(OR(X115,Y115),ABS(S115),IF(Z115,ABS(L115),0))</f>
        <v/>
      </c>
      <c r="AB115">
        <f>AA115*(U115-M115)*$H$2*IF(L115&lt;0,-1,1)</f>
        <v/>
      </c>
      <c r="AC115">
        <f>IF(W115,ABS(L115)*M115+ABS(S115)*U115,0)</f>
        <v/>
      </c>
      <c r="AD115">
        <f>IF(W115,ABS(L115+S115),0)</f>
        <v/>
      </c>
      <c r="AE115">
        <f>IF(V115,U115,IF(W115,AC115/AD115,IF(OR(X115,Y115),IF(Y115,0,M115),IF(Z115,U115,M115))))</f>
        <v/>
      </c>
      <c r="AF115">
        <f>AB115</f>
        <v/>
      </c>
      <c r="AG115">
        <f>ABS(S115)*$D$2</f>
        <v/>
      </c>
      <c r="AH115">
        <f>AF115-AG115</f>
        <v/>
      </c>
      <c r="AI115">
        <f>L115+S115</f>
        <v/>
      </c>
      <c r="AJ115">
        <f>AE115</f>
        <v/>
      </c>
      <c r="AK115">
        <f>N115+AH115</f>
        <v/>
      </c>
      <c r="AL115">
        <f>AI115*(F115-AJ115)*$H$2</f>
        <v/>
      </c>
      <c r="AM115">
        <f>AK115+AL115</f>
        <v/>
      </c>
      <c r="AN115">
        <f>MAX(AN114,AM115)</f>
        <v/>
      </c>
      <c r="AO115">
        <f>(AN115-AM115)/AN115*100</f>
        <v/>
      </c>
    </row>
    <row r="116">
      <c r="A116" t="n">
        <v>111</v>
      </c>
      <c r="B116" s="4" t="n">
        <v>45992.30208333334</v>
      </c>
      <c r="C116" t="n">
        <v>6873.25</v>
      </c>
      <c r="D116" t="n">
        <v>6876.75</v>
      </c>
      <c r="E116" t="n">
        <v>6871.5</v>
      </c>
      <c r="F116" t="n">
        <v>6873.75</v>
      </c>
      <c r="G116" t="n">
        <v>6761</v>
      </c>
      <c r="H116">
        <f>F116-C116</f>
        <v/>
      </c>
      <c r="I116">
        <f>AVERAGE(H109:H113)</f>
        <v/>
      </c>
      <c r="J116">
        <f>I116+$F$1</f>
        <v/>
      </c>
      <c r="K116">
        <f>MIN(MAX(J116,-$H$1),$H$1)</f>
        <v/>
      </c>
      <c r="L116">
        <f>AI115</f>
        <v/>
      </c>
      <c r="M116">
        <f>AJ115</f>
        <v/>
      </c>
      <c r="N116">
        <f>AK115</f>
        <v/>
      </c>
      <c r="O116">
        <f>N116+L116*(F116-M116)*$H$2</f>
        <v/>
      </c>
      <c r="P116">
        <f>K116*O116</f>
        <v/>
      </c>
      <c r="Q116">
        <f>F116*$H$2</f>
        <v/>
      </c>
      <c r="R116">
        <f>INT(P116/Q116)</f>
        <v/>
      </c>
      <c r="S116">
        <f>R116-L116</f>
        <v/>
      </c>
      <c r="T116">
        <f>IF(S116&gt;0,"BUY",IF(S116&lt;0,"SELL","HOLD"))</f>
        <v/>
      </c>
      <c r="U116">
        <f>IF(S116=0,0,F116+IF(S116&gt;0,$F$2,-$F$2))</f>
        <v/>
      </c>
      <c r="V116">
        <f>AND(L116=0,S116&lt;&gt;0)</f>
        <v/>
      </c>
      <c r="W116">
        <f>AND(S116&lt;&gt;0,SIGN(L116+S116)=SIGN(L116),ABS(L116+S116)&gt;ABS(L116),L116&lt;&gt;0)</f>
        <v/>
      </c>
      <c r="X116">
        <f>AND(S116&lt;&gt;0,SIGN(L116+S116)=SIGN(L116),ABS(L116+S116)&lt;ABS(L116))</f>
        <v/>
      </c>
      <c r="Y116">
        <f>AND(S116&lt;&gt;0,L116+S116=0)</f>
        <v/>
      </c>
      <c r="Z116">
        <f>AND(S116&lt;&gt;0,SIGN(L116+S116)&lt;&gt;SIGN(L116),L116+S116&lt;&gt;0,L116&lt;&gt;0)</f>
        <v/>
      </c>
      <c r="AA116">
        <f>IF(OR(X116,Y116),ABS(S116),IF(Z116,ABS(L116),0))</f>
        <v/>
      </c>
      <c r="AB116">
        <f>AA116*(U116-M116)*$H$2*IF(L116&lt;0,-1,1)</f>
        <v/>
      </c>
      <c r="AC116">
        <f>IF(W116,ABS(L116)*M116+ABS(S116)*U116,0)</f>
        <v/>
      </c>
      <c r="AD116">
        <f>IF(W116,ABS(L116+S116),0)</f>
        <v/>
      </c>
      <c r="AE116">
        <f>IF(V116,U116,IF(W116,AC116/AD116,IF(OR(X116,Y116),IF(Y116,0,M116),IF(Z116,U116,M116))))</f>
        <v/>
      </c>
      <c r="AF116">
        <f>AB116</f>
        <v/>
      </c>
      <c r="AG116">
        <f>ABS(S116)*$D$2</f>
        <v/>
      </c>
      <c r="AH116">
        <f>AF116-AG116</f>
        <v/>
      </c>
      <c r="AI116">
        <f>L116+S116</f>
        <v/>
      </c>
      <c r="AJ116">
        <f>AE116</f>
        <v/>
      </c>
      <c r="AK116">
        <f>N116+AH116</f>
        <v/>
      </c>
      <c r="AL116">
        <f>AI116*(F116-AJ116)*$H$2</f>
        <v/>
      </c>
      <c r="AM116">
        <f>AK116+AL116</f>
        <v/>
      </c>
      <c r="AN116">
        <f>MAX(AN115,AM116)</f>
        <v/>
      </c>
      <c r="AO116">
        <f>(AN116-AM116)/AN116*100</f>
        <v/>
      </c>
    </row>
    <row r="117">
      <c r="A117" t="n">
        <v>112</v>
      </c>
      <c r="B117" s="4" t="n">
        <v>45993.30208333334</v>
      </c>
      <c r="C117" t="n">
        <v>6904.25</v>
      </c>
      <c r="D117" t="n">
        <v>6905.25</v>
      </c>
      <c r="E117" t="n">
        <v>6902</v>
      </c>
      <c r="F117" t="n">
        <v>6904.75</v>
      </c>
      <c r="G117" t="n">
        <v>2507</v>
      </c>
      <c r="H117">
        <f>F117-C117</f>
        <v/>
      </c>
      <c r="I117">
        <f>AVERAGE(H110:H114)</f>
        <v/>
      </c>
      <c r="J117">
        <f>I117+$F$1</f>
        <v/>
      </c>
      <c r="K117">
        <f>MIN(MAX(J117,-$H$1),$H$1)</f>
        <v/>
      </c>
      <c r="L117">
        <f>AI116</f>
        <v/>
      </c>
      <c r="M117">
        <f>AJ116</f>
        <v/>
      </c>
      <c r="N117">
        <f>AK116</f>
        <v/>
      </c>
      <c r="O117">
        <f>N117+L117*(F117-M117)*$H$2</f>
        <v/>
      </c>
      <c r="P117">
        <f>K117*O117</f>
        <v/>
      </c>
      <c r="Q117">
        <f>F117*$H$2</f>
        <v/>
      </c>
      <c r="R117">
        <f>INT(P117/Q117)</f>
        <v/>
      </c>
      <c r="S117">
        <f>R117-L117</f>
        <v/>
      </c>
      <c r="T117">
        <f>IF(S117&gt;0,"BUY",IF(S117&lt;0,"SELL","HOLD"))</f>
        <v/>
      </c>
      <c r="U117">
        <f>IF(S117=0,0,F117+IF(S117&gt;0,$F$2,-$F$2))</f>
        <v/>
      </c>
      <c r="V117">
        <f>AND(L117=0,S117&lt;&gt;0)</f>
        <v/>
      </c>
      <c r="W117">
        <f>AND(S117&lt;&gt;0,SIGN(L117+S117)=SIGN(L117),ABS(L117+S117)&gt;ABS(L117),L117&lt;&gt;0)</f>
        <v/>
      </c>
      <c r="X117">
        <f>AND(S117&lt;&gt;0,SIGN(L117+S117)=SIGN(L117),ABS(L117+S117)&lt;ABS(L117))</f>
        <v/>
      </c>
      <c r="Y117">
        <f>AND(S117&lt;&gt;0,L117+S117=0)</f>
        <v/>
      </c>
      <c r="Z117">
        <f>AND(S117&lt;&gt;0,SIGN(L117+S117)&lt;&gt;SIGN(L117),L117+S117&lt;&gt;0,L117&lt;&gt;0)</f>
        <v/>
      </c>
      <c r="AA117">
        <f>IF(OR(X117,Y117),ABS(S117),IF(Z117,ABS(L117),0))</f>
        <v/>
      </c>
      <c r="AB117">
        <f>AA117*(U117-M117)*$H$2*IF(L117&lt;0,-1,1)</f>
        <v/>
      </c>
      <c r="AC117">
        <f>IF(W117,ABS(L117)*M117+ABS(S117)*U117,0)</f>
        <v/>
      </c>
      <c r="AD117">
        <f>IF(W117,ABS(L117+S117),0)</f>
        <v/>
      </c>
      <c r="AE117">
        <f>IF(V117,U117,IF(W117,AC117/AD117,IF(OR(X117,Y117),IF(Y117,0,M117),IF(Z117,U117,M117))))</f>
        <v/>
      </c>
      <c r="AF117">
        <f>AB117</f>
        <v/>
      </c>
      <c r="AG117">
        <f>ABS(S117)*$D$2</f>
        <v/>
      </c>
      <c r="AH117">
        <f>AF117-AG117</f>
        <v/>
      </c>
      <c r="AI117">
        <f>L117+S117</f>
        <v/>
      </c>
      <c r="AJ117">
        <f>AE117</f>
        <v/>
      </c>
      <c r="AK117">
        <f>N117+AH117</f>
        <v/>
      </c>
      <c r="AL117">
        <f>AI117*(F117-AJ117)*$H$2</f>
        <v/>
      </c>
      <c r="AM117">
        <f>AK117+AL117</f>
        <v/>
      </c>
      <c r="AN117">
        <f>MAX(AN116,AM117)</f>
        <v/>
      </c>
      <c r="AO117">
        <f>(AN117-AM117)/AN117*100</f>
        <v/>
      </c>
    </row>
    <row r="118">
      <c r="A118" t="n">
        <v>113</v>
      </c>
      <c r="B118" s="4" t="n">
        <v>45994.30208333334</v>
      </c>
      <c r="C118" t="n">
        <v>6921.75</v>
      </c>
      <c r="D118" t="n">
        <v>6922.25</v>
      </c>
      <c r="E118" t="n">
        <v>6914</v>
      </c>
      <c r="F118" t="n">
        <v>6918.5</v>
      </c>
      <c r="G118" t="n">
        <v>7559</v>
      </c>
      <c r="H118">
        <f>F118-C118</f>
        <v/>
      </c>
      <c r="I118">
        <f>AVERAGE(H111:H115)</f>
        <v/>
      </c>
      <c r="J118">
        <f>I118+$F$1</f>
        <v/>
      </c>
      <c r="K118">
        <f>MIN(MAX(J118,-$H$1),$H$1)</f>
        <v/>
      </c>
      <c r="L118">
        <f>AI117</f>
        <v/>
      </c>
      <c r="M118">
        <f>AJ117</f>
        <v/>
      </c>
      <c r="N118">
        <f>AK117</f>
        <v/>
      </c>
      <c r="O118">
        <f>N118+L118*(F118-M118)*$H$2</f>
        <v/>
      </c>
      <c r="P118">
        <f>K118*O118</f>
        <v/>
      </c>
      <c r="Q118">
        <f>F118*$H$2</f>
        <v/>
      </c>
      <c r="R118">
        <f>INT(P118/Q118)</f>
        <v/>
      </c>
      <c r="S118">
        <f>R118-L118</f>
        <v/>
      </c>
      <c r="T118">
        <f>IF(S118&gt;0,"BUY",IF(S118&lt;0,"SELL","HOLD"))</f>
        <v/>
      </c>
      <c r="U118">
        <f>IF(S118=0,0,F118+IF(S118&gt;0,$F$2,-$F$2))</f>
        <v/>
      </c>
      <c r="V118">
        <f>AND(L118=0,S118&lt;&gt;0)</f>
        <v/>
      </c>
      <c r="W118">
        <f>AND(S118&lt;&gt;0,SIGN(L118+S118)=SIGN(L118),ABS(L118+S118)&gt;ABS(L118),L118&lt;&gt;0)</f>
        <v/>
      </c>
      <c r="X118">
        <f>AND(S118&lt;&gt;0,SIGN(L118+S118)=SIGN(L118),ABS(L118+S118)&lt;ABS(L118))</f>
        <v/>
      </c>
      <c r="Y118">
        <f>AND(S118&lt;&gt;0,L118+S118=0)</f>
        <v/>
      </c>
      <c r="Z118">
        <f>AND(S118&lt;&gt;0,SIGN(L118+S118)&lt;&gt;SIGN(L118),L118+S118&lt;&gt;0,L118&lt;&gt;0)</f>
        <v/>
      </c>
      <c r="AA118">
        <f>IF(OR(X118,Y118),ABS(S118),IF(Z118,ABS(L118),0))</f>
        <v/>
      </c>
      <c r="AB118">
        <f>AA118*(U118-M118)*$H$2*IF(L118&lt;0,-1,1)</f>
        <v/>
      </c>
      <c r="AC118">
        <f>IF(W118,ABS(L118)*M118+ABS(S118)*U118,0)</f>
        <v/>
      </c>
      <c r="AD118">
        <f>IF(W118,ABS(L118+S118),0)</f>
        <v/>
      </c>
      <c r="AE118">
        <f>IF(V118,U118,IF(W118,AC118/AD118,IF(OR(X118,Y118),IF(Y118,0,M118),IF(Z118,U118,M118))))</f>
        <v/>
      </c>
      <c r="AF118">
        <f>AB118</f>
        <v/>
      </c>
      <c r="AG118">
        <f>ABS(S118)*$D$2</f>
        <v/>
      </c>
      <c r="AH118">
        <f>AF118-AG118</f>
        <v/>
      </c>
      <c r="AI118">
        <f>L118+S118</f>
        <v/>
      </c>
      <c r="AJ118">
        <f>AE118</f>
        <v/>
      </c>
      <c r="AK118">
        <f>N118+AH118</f>
        <v/>
      </c>
      <c r="AL118">
        <f>AI118*(F118-AJ118)*$H$2</f>
        <v/>
      </c>
      <c r="AM118">
        <f>AK118+AL118</f>
        <v/>
      </c>
      <c r="AN118">
        <f>MAX(AN117,AM118)</f>
        <v/>
      </c>
      <c r="AO118">
        <f>(AN118-AM118)/AN118*100</f>
        <v/>
      </c>
    </row>
    <row r="119">
      <c r="A119" t="n">
        <v>114</v>
      </c>
      <c r="B119" s="4" t="n">
        <v>45995.30208333334</v>
      </c>
      <c r="C119" t="n">
        <v>6924.75</v>
      </c>
      <c r="D119" t="n">
        <v>6929</v>
      </c>
      <c r="E119" t="n">
        <v>6924.5</v>
      </c>
      <c r="F119" t="n">
        <v>6928</v>
      </c>
      <c r="G119" t="n">
        <v>2093</v>
      </c>
      <c r="H119">
        <f>F119-C119</f>
        <v/>
      </c>
      <c r="I119">
        <f>AVERAGE(H112:H116)</f>
        <v/>
      </c>
      <c r="J119">
        <f>I119+$F$1</f>
        <v/>
      </c>
      <c r="K119">
        <f>MIN(MAX(J119,-$H$1),$H$1)</f>
        <v/>
      </c>
      <c r="L119">
        <f>AI118</f>
        <v/>
      </c>
      <c r="M119">
        <f>AJ118</f>
        <v/>
      </c>
      <c r="N119">
        <f>AK118</f>
        <v/>
      </c>
      <c r="O119">
        <f>N119+L119*(F119-M119)*$H$2</f>
        <v/>
      </c>
      <c r="P119">
        <f>K119*O119</f>
        <v/>
      </c>
      <c r="Q119">
        <f>F119*$H$2</f>
        <v/>
      </c>
      <c r="R119">
        <f>INT(P119/Q119)</f>
        <v/>
      </c>
      <c r="S119">
        <f>R119-L119</f>
        <v/>
      </c>
      <c r="T119">
        <f>IF(S119&gt;0,"BUY",IF(S119&lt;0,"SELL","HOLD"))</f>
        <v/>
      </c>
      <c r="U119">
        <f>IF(S119=0,0,F119+IF(S119&gt;0,$F$2,-$F$2))</f>
        <v/>
      </c>
      <c r="V119">
        <f>AND(L119=0,S119&lt;&gt;0)</f>
        <v/>
      </c>
      <c r="W119">
        <f>AND(S119&lt;&gt;0,SIGN(L119+S119)=SIGN(L119),ABS(L119+S119)&gt;ABS(L119),L119&lt;&gt;0)</f>
        <v/>
      </c>
      <c r="X119">
        <f>AND(S119&lt;&gt;0,SIGN(L119+S119)=SIGN(L119),ABS(L119+S119)&lt;ABS(L119))</f>
        <v/>
      </c>
      <c r="Y119">
        <f>AND(S119&lt;&gt;0,L119+S119=0)</f>
        <v/>
      </c>
      <c r="Z119">
        <f>AND(S119&lt;&gt;0,SIGN(L119+S119)&lt;&gt;SIGN(L119),L119+S119&lt;&gt;0,L119&lt;&gt;0)</f>
        <v/>
      </c>
      <c r="AA119">
        <f>IF(OR(X119,Y119),ABS(S119),IF(Z119,ABS(L119),0))</f>
        <v/>
      </c>
      <c r="AB119">
        <f>AA119*(U119-M119)*$H$2*IF(L119&lt;0,-1,1)</f>
        <v/>
      </c>
      <c r="AC119">
        <f>IF(W119,ABS(L119)*M119+ABS(S119)*U119,0)</f>
        <v/>
      </c>
      <c r="AD119">
        <f>IF(W119,ABS(L119+S119),0)</f>
        <v/>
      </c>
      <c r="AE119">
        <f>IF(V119,U119,IF(W119,AC119/AD119,IF(OR(X119,Y119),IF(Y119,0,M119),IF(Z119,U119,M119))))</f>
        <v/>
      </c>
      <c r="AF119">
        <f>AB119</f>
        <v/>
      </c>
      <c r="AG119">
        <f>ABS(S119)*$D$2</f>
        <v/>
      </c>
      <c r="AH119">
        <f>AF119-AG119</f>
        <v/>
      </c>
      <c r="AI119">
        <f>L119+S119</f>
        <v/>
      </c>
      <c r="AJ119">
        <f>AE119</f>
        <v/>
      </c>
      <c r="AK119">
        <f>N119+AH119</f>
        <v/>
      </c>
      <c r="AL119">
        <f>AI119*(F119-AJ119)*$H$2</f>
        <v/>
      </c>
      <c r="AM119">
        <f>AK119+AL119</f>
        <v/>
      </c>
      <c r="AN119">
        <f>MAX(AN118,AM119)</f>
        <v/>
      </c>
      <c r="AO119">
        <f>(AN119-AM119)/AN119*100</f>
        <v/>
      </c>
    </row>
    <row r="120">
      <c r="A120" t="n">
        <v>115</v>
      </c>
      <c r="B120" s="4" t="n">
        <v>45996.30208333334</v>
      </c>
      <c r="C120" t="n">
        <v>6939.5</v>
      </c>
      <c r="D120" t="n">
        <v>6940</v>
      </c>
      <c r="E120" t="n">
        <v>6935</v>
      </c>
      <c r="F120" t="n">
        <v>6936.25</v>
      </c>
      <c r="G120" t="n">
        <v>3660</v>
      </c>
      <c r="H120">
        <f>F120-C120</f>
        <v/>
      </c>
      <c r="I120">
        <f>AVERAGE(H113:H117)</f>
        <v/>
      </c>
      <c r="J120">
        <f>I120+$F$1</f>
        <v/>
      </c>
      <c r="K120">
        <f>MIN(MAX(J120,-$H$1),$H$1)</f>
        <v/>
      </c>
      <c r="L120">
        <f>AI119</f>
        <v/>
      </c>
      <c r="M120">
        <f>AJ119</f>
        <v/>
      </c>
      <c r="N120">
        <f>AK119</f>
        <v/>
      </c>
      <c r="O120">
        <f>N120+L120*(F120-M120)*$H$2</f>
        <v/>
      </c>
      <c r="P120">
        <f>K120*O120</f>
        <v/>
      </c>
      <c r="Q120">
        <f>F120*$H$2</f>
        <v/>
      </c>
      <c r="R120">
        <f>INT(P120/Q120)</f>
        <v/>
      </c>
      <c r="S120">
        <f>R120-L120</f>
        <v/>
      </c>
      <c r="T120">
        <f>IF(S120&gt;0,"BUY",IF(S120&lt;0,"SELL","HOLD"))</f>
        <v/>
      </c>
      <c r="U120">
        <f>IF(S120=0,0,F120+IF(S120&gt;0,$F$2,-$F$2))</f>
        <v/>
      </c>
      <c r="V120">
        <f>AND(L120=0,S120&lt;&gt;0)</f>
        <v/>
      </c>
      <c r="W120">
        <f>AND(S120&lt;&gt;0,SIGN(L120+S120)=SIGN(L120),ABS(L120+S120)&gt;ABS(L120),L120&lt;&gt;0)</f>
        <v/>
      </c>
      <c r="X120">
        <f>AND(S120&lt;&gt;0,SIGN(L120+S120)=SIGN(L120),ABS(L120+S120)&lt;ABS(L120))</f>
        <v/>
      </c>
      <c r="Y120">
        <f>AND(S120&lt;&gt;0,L120+S120=0)</f>
        <v/>
      </c>
      <c r="Z120">
        <f>AND(S120&lt;&gt;0,SIGN(L120+S120)&lt;&gt;SIGN(L120),L120+S120&lt;&gt;0,L120&lt;&gt;0)</f>
        <v/>
      </c>
      <c r="AA120">
        <f>IF(OR(X120,Y120),ABS(S120),IF(Z120,ABS(L120),0))</f>
        <v/>
      </c>
      <c r="AB120">
        <f>AA120*(U120-M120)*$H$2*IF(L120&lt;0,-1,1)</f>
        <v/>
      </c>
      <c r="AC120">
        <f>IF(W120,ABS(L120)*M120+ABS(S120)*U120,0)</f>
        <v/>
      </c>
      <c r="AD120">
        <f>IF(W120,ABS(L120+S120),0)</f>
        <v/>
      </c>
      <c r="AE120">
        <f>IF(V120,U120,IF(W120,AC120/AD120,IF(OR(X120,Y120),IF(Y120,0,M120),IF(Z120,U120,M120))))</f>
        <v/>
      </c>
      <c r="AF120">
        <f>AB120</f>
        <v/>
      </c>
      <c r="AG120">
        <f>ABS(S120)*$D$2</f>
        <v/>
      </c>
      <c r="AH120">
        <f>AF120-AG120</f>
        <v/>
      </c>
      <c r="AI120">
        <f>L120+S120</f>
        <v/>
      </c>
      <c r="AJ120">
        <f>AE120</f>
        <v/>
      </c>
      <c r="AK120">
        <f>N120+AH120</f>
        <v/>
      </c>
      <c r="AL120">
        <f>AI120*(F120-AJ120)*$H$2</f>
        <v/>
      </c>
      <c r="AM120">
        <f>AK120+AL120</f>
        <v/>
      </c>
      <c r="AN120">
        <f>MAX(AN119,AM120)</f>
        <v/>
      </c>
      <c r="AO120">
        <f>(AN120-AM120)/AN120*100</f>
        <v/>
      </c>
    </row>
    <row r="121">
      <c r="A121" t="n">
        <v>116</v>
      </c>
      <c r="B121" s="4" t="n">
        <v>45999.30208333334</v>
      </c>
      <c r="C121" t="n">
        <v>6949.75</v>
      </c>
      <c r="D121" t="n">
        <v>6953.5</v>
      </c>
      <c r="E121" t="n">
        <v>6947.75</v>
      </c>
      <c r="F121" t="n">
        <v>6949.5</v>
      </c>
      <c r="G121" t="n">
        <v>6705</v>
      </c>
      <c r="H121">
        <f>F121-C121</f>
        <v/>
      </c>
      <c r="I121">
        <f>AVERAGE(H114:H118)</f>
        <v/>
      </c>
      <c r="J121">
        <f>I121+$F$1</f>
        <v/>
      </c>
      <c r="K121">
        <f>MIN(MAX(J121,-$H$1),$H$1)</f>
        <v/>
      </c>
      <c r="L121">
        <f>AI120</f>
        <v/>
      </c>
      <c r="M121">
        <f>AJ120</f>
        <v/>
      </c>
      <c r="N121">
        <f>AK120</f>
        <v/>
      </c>
      <c r="O121">
        <f>N121+L121*(F121-M121)*$H$2</f>
        <v/>
      </c>
      <c r="P121">
        <f>K121*O121</f>
        <v/>
      </c>
      <c r="Q121">
        <f>F121*$H$2</f>
        <v/>
      </c>
      <c r="R121">
        <f>INT(P121/Q121)</f>
        <v/>
      </c>
      <c r="S121">
        <f>R121-L121</f>
        <v/>
      </c>
      <c r="T121">
        <f>IF(S121&gt;0,"BUY",IF(S121&lt;0,"SELL","HOLD"))</f>
        <v/>
      </c>
      <c r="U121">
        <f>IF(S121=0,0,F121+IF(S121&gt;0,$F$2,-$F$2))</f>
        <v/>
      </c>
      <c r="V121">
        <f>AND(L121=0,S121&lt;&gt;0)</f>
        <v/>
      </c>
      <c r="W121">
        <f>AND(S121&lt;&gt;0,SIGN(L121+S121)=SIGN(L121),ABS(L121+S121)&gt;ABS(L121),L121&lt;&gt;0)</f>
        <v/>
      </c>
      <c r="X121">
        <f>AND(S121&lt;&gt;0,SIGN(L121+S121)=SIGN(L121),ABS(L121+S121)&lt;ABS(L121))</f>
        <v/>
      </c>
      <c r="Y121">
        <f>AND(S121&lt;&gt;0,L121+S121=0)</f>
        <v/>
      </c>
      <c r="Z121">
        <f>AND(S121&lt;&gt;0,SIGN(L121+S121)&lt;&gt;SIGN(L121),L121+S121&lt;&gt;0,L121&lt;&gt;0)</f>
        <v/>
      </c>
      <c r="AA121">
        <f>IF(OR(X121,Y121),ABS(S121),IF(Z121,ABS(L121),0))</f>
        <v/>
      </c>
      <c r="AB121">
        <f>AA121*(U121-M121)*$H$2*IF(L121&lt;0,-1,1)</f>
        <v/>
      </c>
      <c r="AC121">
        <f>IF(W121,ABS(L121)*M121+ABS(S121)*U121,0)</f>
        <v/>
      </c>
      <c r="AD121">
        <f>IF(W121,ABS(L121+S121),0)</f>
        <v/>
      </c>
      <c r="AE121">
        <f>IF(V121,U121,IF(W121,AC121/AD121,IF(OR(X121,Y121),IF(Y121,0,M121),IF(Z121,U121,M121))))</f>
        <v/>
      </c>
      <c r="AF121">
        <f>AB121</f>
        <v/>
      </c>
      <c r="AG121">
        <f>ABS(S121)*$D$2</f>
        <v/>
      </c>
      <c r="AH121">
        <f>AF121-AG121</f>
        <v/>
      </c>
      <c r="AI121">
        <f>L121+S121</f>
        <v/>
      </c>
      <c r="AJ121">
        <f>AE121</f>
        <v/>
      </c>
      <c r="AK121">
        <f>N121+AH121</f>
        <v/>
      </c>
      <c r="AL121">
        <f>AI121*(F121-AJ121)*$H$2</f>
        <v/>
      </c>
      <c r="AM121">
        <f>AK121+AL121</f>
        <v/>
      </c>
      <c r="AN121">
        <f>MAX(AN120,AM121)</f>
        <v/>
      </c>
      <c r="AO121">
        <f>(AN121-AM121)/AN121*100</f>
        <v/>
      </c>
    </row>
    <row r="122">
      <c r="A122" t="n">
        <v>117</v>
      </c>
      <c r="B122" s="4" t="n">
        <v>46000.30208333334</v>
      </c>
      <c r="C122" t="n">
        <v>6918.5</v>
      </c>
      <c r="D122" t="n">
        <v>6919.5</v>
      </c>
      <c r="E122" t="n">
        <v>6914.75</v>
      </c>
      <c r="F122" t="n">
        <v>6917.25</v>
      </c>
      <c r="G122" t="n">
        <v>4215</v>
      </c>
      <c r="H122">
        <f>F122-C122</f>
        <v/>
      </c>
      <c r="I122">
        <f>AVERAGE(H115:H119)</f>
        <v/>
      </c>
      <c r="J122">
        <f>I122+$F$1</f>
        <v/>
      </c>
      <c r="K122">
        <f>MIN(MAX(J122,-$H$1),$H$1)</f>
        <v/>
      </c>
      <c r="L122">
        <f>AI121</f>
        <v/>
      </c>
      <c r="M122">
        <f>AJ121</f>
        <v/>
      </c>
      <c r="N122">
        <f>AK121</f>
        <v/>
      </c>
      <c r="O122">
        <f>N122+L122*(F122-M122)*$H$2</f>
        <v/>
      </c>
      <c r="P122">
        <f>K122*O122</f>
        <v/>
      </c>
      <c r="Q122">
        <f>F122*$H$2</f>
        <v/>
      </c>
      <c r="R122">
        <f>INT(P122/Q122)</f>
        <v/>
      </c>
      <c r="S122">
        <f>R122-L122</f>
        <v/>
      </c>
      <c r="T122">
        <f>IF(S122&gt;0,"BUY",IF(S122&lt;0,"SELL","HOLD"))</f>
        <v/>
      </c>
      <c r="U122">
        <f>IF(S122=0,0,F122+IF(S122&gt;0,$F$2,-$F$2))</f>
        <v/>
      </c>
      <c r="V122">
        <f>AND(L122=0,S122&lt;&gt;0)</f>
        <v/>
      </c>
      <c r="W122">
        <f>AND(S122&lt;&gt;0,SIGN(L122+S122)=SIGN(L122),ABS(L122+S122)&gt;ABS(L122),L122&lt;&gt;0)</f>
        <v/>
      </c>
      <c r="X122">
        <f>AND(S122&lt;&gt;0,SIGN(L122+S122)=SIGN(L122),ABS(L122+S122)&lt;ABS(L122))</f>
        <v/>
      </c>
      <c r="Y122">
        <f>AND(S122&lt;&gt;0,L122+S122=0)</f>
        <v/>
      </c>
      <c r="Z122">
        <f>AND(S122&lt;&gt;0,SIGN(L122+S122)&lt;&gt;SIGN(L122),L122+S122&lt;&gt;0,L122&lt;&gt;0)</f>
        <v/>
      </c>
      <c r="AA122">
        <f>IF(OR(X122,Y122),ABS(S122),IF(Z122,ABS(L122),0))</f>
        <v/>
      </c>
      <c r="AB122">
        <f>AA122*(U122-M122)*$H$2*IF(L122&lt;0,-1,1)</f>
        <v/>
      </c>
      <c r="AC122">
        <f>IF(W122,ABS(L122)*M122+ABS(S122)*U122,0)</f>
        <v/>
      </c>
      <c r="AD122">
        <f>IF(W122,ABS(L122+S122),0)</f>
        <v/>
      </c>
      <c r="AE122">
        <f>IF(V122,U122,IF(W122,AC122/AD122,IF(OR(X122,Y122),IF(Y122,0,M122),IF(Z122,U122,M122))))</f>
        <v/>
      </c>
      <c r="AF122">
        <f>AB122</f>
        <v/>
      </c>
      <c r="AG122">
        <f>ABS(S122)*$D$2</f>
        <v/>
      </c>
      <c r="AH122">
        <f>AF122-AG122</f>
        <v/>
      </c>
      <c r="AI122">
        <f>L122+S122</f>
        <v/>
      </c>
      <c r="AJ122">
        <f>AE122</f>
        <v/>
      </c>
      <c r="AK122">
        <f>N122+AH122</f>
        <v/>
      </c>
      <c r="AL122">
        <f>AI122*(F122-AJ122)*$H$2</f>
        <v/>
      </c>
      <c r="AM122">
        <f>AK122+AL122</f>
        <v/>
      </c>
      <c r="AN122">
        <f>MAX(AN121,AM122)</f>
        <v/>
      </c>
      <c r="AO122">
        <f>(AN122-AM122)/AN122*100</f>
        <v/>
      </c>
    </row>
    <row r="123">
      <c r="A123" t="n">
        <v>118</v>
      </c>
      <c r="B123" s="4" t="n">
        <v>46001.30208333334</v>
      </c>
      <c r="C123" t="n">
        <v>6905.5</v>
      </c>
      <c r="D123" t="n">
        <v>6916.25</v>
      </c>
      <c r="E123" t="n">
        <v>6904.75</v>
      </c>
      <c r="F123" t="n">
        <v>6914.25</v>
      </c>
      <c r="G123" t="n">
        <v>7382</v>
      </c>
      <c r="H123">
        <f>F123-C123</f>
        <v/>
      </c>
      <c r="I123">
        <f>AVERAGE(H116:H120)</f>
        <v/>
      </c>
      <c r="J123">
        <f>I123+$F$1</f>
        <v/>
      </c>
      <c r="K123">
        <f>MIN(MAX(J123,-$H$1),$H$1)</f>
        <v/>
      </c>
      <c r="L123">
        <f>AI122</f>
        <v/>
      </c>
      <c r="M123">
        <f>AJ122</f>
        <v/>
      </c>
      <c r="N123">
        <f>AK122</f>
        <v/>
      </c>
      <c r="O123">
        <f>N123+L123*(F123-M123)*$H$2</f>
        <v/>
      </c>
      <c r="P123">
        <f>K123*O123</f>
        <v/>
      </c>
      <c r="Q123">
        <f>F123*$H$2</f>
        <v/>
      </c>
      <c r="R123">
        <f>INT(P123/Q123)</f>
        <v/>
      </c>
      <c r="S123">
        <f>R123-L123</f>
        <v/>
      </c>
      <c r="T123">
        <f>IF(S123&gt;0,"BUY",IF(S123&lt;0,"SELL","HOLD"))</f>
        <v/>
      </c>
      <c r="U123">
        <f>IF(S123=0,0,F123+IF(S123&gt;0,$F$2,-$F$2))</f>
        <v/>
      </c>
      <c r="V123">
        <f>AND(L123=0,S123&lt;&gt;0)</f>
        <v/>
      </c>
      <c r="W123">
        <f>AND(S123&lt;&gt;0,SIGN(L123+S123)=SIGN(L123),ABS(L123+S123)&gt;ABS(L123),L123&lt;&gt;0)</f>
        <v/>
      </c>
      <c r="X123">
        <f>AND(S123&lt;&gt;0,SIGN(L123+S123)=SIGN(L123),ABS(L123+S123)&lt;ABS(L123))</f>
        <v/>
      </c>
      <c r="Y123">
        <f>AND(S123&lt;&gt;0,L123+S123=0)</f>
        <v/>
      </c>
      <c r="Z123">
        <f>AND(S123&lt;&gt;0,SIGN(L123+S123)&lt;&gt;SIGN(L123),L123+S123&lt;&gt;0,L123&lt;&gt;0)</f>
        <v/>
      </c>
      <c r="AA123">
        <f>IF(OR(X123,Y123),ABS(S123),IF(Z123,ABS(L123),0))</f>
        <v/>
      </c>
      <c r="AB123">
        <f>AA123*(U123-M123)*$H$2*IF(L123&lt;0,-1,1)</f>
        <v/>
      </c>
      <c r="AC123">
        <f>IF(W123,ABS(L123)*M123+ABS(S123)*U123,0)</f>
        <v/>
      </c>
      <c r="AD123">
        <f>IF(W123,ABS(L123+S123),0)</f>
        <v/>
      </c>
      <c r="AE123">
        <f>IF(V123,U123,IF(W123,AC123/AD123,IF(OR(X123,Y123),IF(Y123,0,M123),IF(Z123,U123,M123))))</f>
        <v/>
      </c>
      <c r="AF123">
        <f>AB123</f>
        <v/>
      </c>
      <c r="AG123">
        <f>ABS(S123)*$D$2</f>
        <v/>
      </c>
      <c r="AH123">
        <f>AF123-AG123</f>
        <v/>
      </c>
      <c r="AI123">
        <f>L123+S123</f>
        <v/>
      </c>
      <c r="AJ123">
        <f>AE123</f>
        <v/>
      </c>
      <c r="AK123">
        <f>N123+AH123</f>
        <v/>
      </c>
      <c r="AL123">
        <f>AI123*(F123-AJ123)*$H$2</f>
        <v/>
      </c>
      <c r="AM123">
        <f>AK123+AL123</f>
        <v/>
      </c>
      <c r="AN123">
        <f>MAX(AN122,AM123)</f>
        <v/>
      </c>
      <c r="AO123">
        <f>(AN123-AM123)/AN123*100</f>
        <v/>
      </c>
    </row>
    <row r="124">
      <c r="A124" t="n">
        <v>119</v>
      </c>
      <c r="B124" s="4" t="n">
        <v>46002.30208333334</v>
      </c>
      <c r="C124" t="n">
        <v>6930.5</v>
      </c>
      <c r="D124" t="n">
        <v>6932.5</v>
      </c>
      <c r="E124" t="n">
        <v>6929</v>
      </c>
      <c r="F124" t="n">
        <v>6930.25</v>
      </c>
      <c r="G124" t="n">
        <v>2632</v>
      </c>
      <c r="H124">
        <f>F124-C124</f>
        <v/>
      </c>
      <c r="I124">
        <f>AVERAGE(H117:H121)</f>
        <v/>
      </c>
      <c r="J124">
        <f>I124+$F$1</f>
        <v/>
      </c>
      <c r="K124">
        <f>MIN(MAX(J124,-$H$1),$H$1)</f>
        <v/>
      </c>
      <c r="L124">
        <f>AI123</f>
        <v/>
      </c>
      <c r="M124">
        <f>AJ123</f>
        <v/>
      </c>
      <c r="N124">
        <f>AK123</f>
        <v/>
      </c>
      <c r="O124">
        <f>N124+L124*(F124-M124)*$H$2</f>
        <v/>
      </c>
      <c r="P124">
        <f>K124*O124</f>
        <v/>
      </c>
      <c r="Q124">
        <f>F124*$H$2</f>
        <v/>
      </c>
      <c r="R124">
        <f>INT(P124/Q124)</f>
        <v/>
      </c>
      <c r="S124">
        <f>R124-L124</f>
        <v/>
      </c>
      <c r="T124">
        <f>IF(S124&gt;0,"BUY",IF(S124&lt;0,"SELL","HOLD"))</f>
        <v/>
      </c>
      <c r="U124">
        <f>IF(S124=0,0,F124+IF(S124&gt;0,$F$2,-$F$2))</f>
        <v/>
      </c>
      <c r="V124">
        <f>AND(L124=0,S124&lt;&gt;0)</f>
        <v/>
      </c>
      <c r="W124">
        <f>AND(S124&lt;&gt;0,SIGN(L124+S124)=SIGN(L124),ABS(L124+S124)&gt;ABS(L124),L124&lt;&gt;0)</f>
        <v/>
      </c>
      <c r="X124">
        <f>AND(S124&lt;&gt;0,SIGN(L124+S124)=SIGN(L124),ABS(L124+S124)&lt;ABS(L124))</f>
        <v/>
      </c>
      <c r="Y124">
        <f>AND(S124&lt;&gt;0,L124+S124=0)</f>
        <v/>
      </c>
      <c r="Z124">
        <f>AND(S124&lt;&gt;0,SIGN(L124+S124)&lt;&gt;SIGN(L124),L124+S124&lt;&gt;0,L124&lt;&gt;0)</f>
        <v/>
      </c>
      <c r="AA124">
        <f>IF(OR(X124,Y124),ABS(S124),IF(Z124,ABS(L124),0))</f>
        <v/>
      </c>
      <c r="AB124">
        <f>AA124*(U124-M124)*$H$2*IF(L124&lt;0,-1,1)</f>
        <v/>
      </c>
      <c r="AC124">
        <f>IF(W124,ABS(L124)*M124+ABS(S124)*U124,0)</f>
        <v/>
      </c>
      <c r="AD124">
        <f>IF(W124,ABS(L124+S124),0)</f>
        <v/>
      </c>
      <c r="AE124">
        <f>IF(V124,U124,IF(W124,AC124/AD124,IF(OR(X124,Y124),IF(Y124,0,M124),IF(Z124,U124,M124))))</f>
        <v/>
      </c>
      <c r="AF124">
        <f>AB124</f>
        <v/>
      </c>
      <c r="AG124">
        <f>ABS(S124)*$D$2</f>
        <v/>
      </c>
      <c r="AH124">
        <f>AF124-AG124</f>
        <v/>
      </c>
      <c r="AI124">
        <f>L124+S124</f>
        <v/>
      </c>
      <c r="AJ124">
        <f>AE124</f>
        <v/>
      </c>
      <c r="AK124">
        <f>N124+AH124</f>
        <v/>
      </c>
      <c r="AL124">
        <f>AI124*(F124-AJ124)*$H$2</f>
        <v/>
      </c>
      <c r="AM124">
        <f>AK124+AL124</f>
        <v/>
      </c>
      <c r="AN124">
        <f>MAX(AN123,AM124)</f>
        <v/>
      </c>
      <c r="AO124">
        <f>(AN124-AM124)/AN124*100</f>
        <v/>
      </c>
    </row>
    <row r="125">
      <c r="A125" t="n">
        <v>120</v>
      </c>
      <c r="B125" s="4" t="n">
        <v>46003.30208333334</v>
      </c>
      <c r="C125" t="n">
        <v>6961.75</v>
      </c>
      <c r="D125" t="n">
        <v>6964.5</v>
      </c>
      <c r="E125" t="n">
        <v>6961</v>
      </c>
      <c r="F125" t="n">
        <v>6962.25</v>
      </c>
      <c r="G125" t="n">
        <v>4125</v>
      </c>
      <c r="H125">
        <f>F125-C125</f>
        <v/>
      </c>
      <c r="I125">
        <f>AVERAGE(H118:H122)</f>
        <v/>
      </c>
      <c r="J125">
        <f>I125+$F$1</f>
        <v/>
      </c>
      <c r="K125">
        <f>MIN(MAX(J125,-$H$1),$H$1)</f>
        <v/>
      </c>
      <c r="L125">
        <f>AI124</f>
        <v/>
      </c>
      <c r="M125">
        <f>AJ124</f>
        <v/>
      </c>
      <c r="N125">
        <f>AK124</f>
        <v/>
      </c>
      <c r="O125">
        <f>N125+L125*(F125-M125)*$H$2</f>
        <v/>
      </c>
      <c r="P125">
        <f>K125*O125</f>
        <v/>
      </c>
      <c r="Q125">
        <f>F125*$H$2</f>
        <v/>
      </c>
      <c r="R125">
        <f>INT(P125/Q125)</f>
        <v/>
      </c>
      <c r="S125">
        <f>R125-L125</f>
        <v/>
      </c>
      <c r="T125">
        <f>IF(S125&gt;0,"BUY",IF(S125&lt;0,"SELL","HOLD"))</f>
        <v/>
      </c>
      <c r="U125">
        <f>IF(S125=0,0,F125+IF(S125&gt;0,$F$2,-$F$2))</f>
        <v/>
      </c>
      <c r="V125">
        <f>AND(L125=0,S125&lt;&gt;0)</f>
        <v/>
      </c>
      <c r="W125">
        <f>AND(S125&lt;&gt;0,SIGN(L125+S125)=SIGN(L125),ABS(L125+S125)&gt;ABS(L125),L125&lt;&gt;0)</f>
        <v/>
      </c>
      <c r="X125">
        <f>AND(S125&lt;&gt;0,SIGN(L125+S125)=SIGN(L125),ABS(L125+S125)&lt;ABS(L125))</f>
        <v/>
      </c>
      <c r="Y125">
        <f>AND(S125&lt;&gt;0,L125+S125=0)</f>
        <v/>
      </c>
      <c r="Z125">
        <f>AND(S125&lt;&gt;0,SIGN(L125+S125)&lt;&gt;SIGN(L125),L125+S125&lt;&gt;0,L125&lt;&gt;0)</f>
        <v/>
      </c>
      <c r="AA125">
        <f>IF(OR(X125,Y125),ABS(S125),IF(Z125,ABS(L125),0))</f>
        <v/>
      </c>
      <c r="AB125">
        <f>AA125*(U125-M125)*$H$2*IF(L125&lt;0,-1,1)</f>
        <v/>
      </c>
      <c r="AC125">
        <f>IF(W125,ABS(L125)*M125+ABS(S125)*U125,0)</f>
        <v/>
      </c>
      <c r="AD125">
        <f>IF(W125,ABS(L125+S125),0)</f>
        <v/>
      </c>
      <c r="AE125">
        <f>IF(V125,U125,IF(W125,AC125/AD125,IF(OR(X125,Y125),IF(Y125,0,M125),IF(Z125,U125,M125))))</f>
        <v/>
      </c>
      <c r="AF125">
        <f>AB125</f>
        <v/>
      </c>
      <c r="AG125">
        <f>ABS(S125)*$D$2</f>
        <v/>
      </c>
      <c r="AH125">
        <f>AF125-AG125</f>
        <v/>
      </c>
      <c r="AI125">
        <f>L125+S125</f>
        <v/>
      </c>
      <c r="AJ125">
        <f>AE125</f>
        <v/>
      </c>
      <c r="AK125">
        <f>N125+AH125</f>
        <v/>
      </c>
      <c r="AL125">
        <f>AI125*(F125-AJ125)*$H$2</f>
        <v/>
      </c>
      <c r="AM125">
        <f>AK125+AL125</f>
        <v/>
      </c>
      <c r="AN125">
        <f>MAX(AN124,AM125)</f>
        <v/>
      </c>
      <c r="AO125">
        <f>(AN125-AM125)/AN125*100</f>
        <v/>
      </c>
    </row>
    <row r="126">
      <c r="A126" t="n">
        <v>121</v>
      </c>
      <c r="B126" s="4" t="n">
        <v>46006.30208333334</v>
      </c>
      <c r="C126" t="n">
        <v>6924</v>
      </c>
      <c r="D126" t="n">
        <v>6924.75</v>
      </c>
      <c r="E126" t="n">
        <v>6920</v>
      </c>
      <c r="F126" t="n">
        <v>6923.5</v>
      </c>
      <c r="G126" t="n">
        <v>2721</v>
      </c>
      <c r="H126">
        <f>F126-C126</f>
        <v/>
      </c>
      <c r="I126">
        <f>AVERAGE(H119:H123)</f>
        <v/>
      </c>
      <c r="J126">
        <f>I126+$F$1</f>
        <v/>
      </c>
      <c r="K126">
        <f>MIN(MAX(J126,-$H$1),$H$1)</f>
        <v/>
      </c>
      <c r="L126">
        <f>AI125</f>
        <v/>
      </c>
      <c r="M126">
        <f>AJ125</f>
        <v/>
      </c>
      <c r="N126">
        <f>AK125</f>
        <v/>
      </c>
      <c r="O126">
        <f>N126+L126*(F126-M126)*$H$2</f>
        <v/>
      </c>
      <c r="P126">
        <f>K126*O126</f>
        <v/>
      </c>
      <c r="Q126">
        <f>F126*$H$2</f>
        <v/>
      </c>
      <c r="R126">
        <f>INT(P126/Q126)</f>
        <v/>
      </c>
      <c r="S126">
        <f>R126-L126</f>
        <v/>
      </c>
      <c r="T126">
        <f>IF(S126&gt;0,"BUY",IF(S126&lt;0,"SELL","HOLD"))</f>
        <v/>
      </c>
      <c r="U126">
        <f>IF(S126=0,0,F126+IF(S126&gt;0,$F$2,-$F$2))</f>
        <v/>
      </c>
      <c r="V126">
        <f>AND(L126=0,S126&lt;&gt;0)</f>
        <v/>
      </c>
      <c r="W126">
        <f>AND(S126&lt;&gt;0,SIGN(L126+S126)=SIGN(L126),ABS(L126+S126)&gt;ABS(L126),L126&lt;&gt;0)</f>
        <v/>
      </c>
      <c r="X126">
        <f>AND(S126&lt;&gt;0,SIGN(L126+S126)=SIGN(L126),ABS(L126+S126)&lt;ABS(L126))</f>
        <v/>
      </c>
      <c r="Y126">
        <f>AND(S126&lt;&gt;0,L126+S126=0)</f>
        <v/>
      </c>
      <c r="Z126">
        <f>AND(S126&lt;&gt;0,SIGN(L126+S126)&lt;&gt;SIGN(L126),L126+S126&lt;&gt;0,L126&lt;&gt;0)</f>
        <v/>
      </c>
      <c r="AA126">
        <f>IF(OR(X126,Y126),ABS(S126),IF(Z126,ABS(L126),0))</f>
        <v/>
      </c>
      <c r="AB126">
        <f>AA126*(U126-M126)*$H$2*IF(L126&lt;0,-1,1)</f>
        <v/>
      </c>
      <c r="AC126">
        <f>IF(W126,ABS(L126)*M126+ABS(S126)*U126,0)</f>
        <v/>
      </c>
      <c r="AD126">
        <f>IF(W126,ABS(L126+S126),0)</f>
        <v/>
      </c>
      <c r="AE126">
        <f>IF(V126,U126,IF(W126,AC126/AD126,IF(OR(X126,Y126),IF(Y126,0,M126),IF(Z126,U126,M126))))</f>
        <v/>
      </c>
      <c r="AF126">
        <f>AB126</f>
        <v/>
      </c>
      <c r="AG126">
        <f>ABS(S126)*$D$2</f>
        <v/>
      </c>
      <c r="AH126">
        <f>AF126-AG126</f>
        <v/>
      </c>
      <c r="AI126">
        <f>L126+S126</f>
        <v/>
      </c>
      <c r="AJ126">
        <f>AE126</f>
        <v/>
      </c>
      <c r="AK126">
        <f>N126+AH126</f>
        <v/>
      </c>
      <c r="AL126">
        <f>AI126*(F126-AJ126)*$H$2</f>
        <v/>
      </c>
      <c r="AM126">
        <f>AK126+AL126</f>
        <v/>
      </c>
      <c r="AN126">
        <f>MAX(AN125,AM126)</f>
        <v/>
      </c>
      <c r="AO126">
        <f>(AN126-AM126)/AN126*100</f>
        <v/>
      </c>
    </row>
    <row r="127">
      <c r="A127" t="n">
        <v>122</v>
      </c>
      <c r="B127" s="4" t="n">
        <v>46007.30208333334</v>
      </c>
      <c r="C127" t="n">
        <v>6872.5</v>
      </c>
      <c r="D127" t="n">
        <v>6878</v>
      </c>
      <c r="E127" t="n">
        <v>6868.25</v>
      </c>
      <c r="F127" t="n">
        <v>6872.75</v>
      </c>
      <c r="G127" t="n">
        <v>6660</v>
      </c>
      <c r="H127">
        <f>F127-C127</f>
        <v/>
      </c>
      <c r="I127">
        <f>AVERAGE(H120:H124)</f>
        <v/>
      </c>
      <c r="J127">
        <f>I127+$F$1</f>
        <v/>
      </c>
      <c r="K127">
        <f>MIN(MAX(J127,-$H$1),$H$1)</f>
        <v/>
      </c>
      <c r="L127">
        <f>AI126</f>
        <v/>
      </c>
      <c r="M127">
        <f>AJ126</f>
        <v/>
      </c>
      <c r="N127">
        <f>AK126</f>
        <v/>
      </c>
      <c r="O127">
        <f>N127+L127*(F127-M127)*$H$2</f>
        <v/>
      </c>
      <c r="P127">
        <f>K127*O127</f>
        <v/>
      </c>
      <c r="Q127">
        <f>F127*$H$2</f>
        <v/>
      </c>
      <c r="R127">
        <f>INT(P127/Q127)</f>
        <v/>
      </c>
      <c r="S127">
        <f>R127-L127</f>
        <v/>
      </c>
      <c r="T127">
        <f>IF(S127&gt;0,"BUY",IF(S127&lt;0,"SELL","HOLD"))</f>
        <v/>
      </c>
      <c r="U127">
        <f>IF(S127=0,0,F127+IF(S127&gt;0,$F$2,-$F$2))</f>
        <v/>
      </c>
      <c r="V127">
        <f>AND(L127=0,S127&lt;&gt;0)</f>
        <v/>
      </c>
      <c r="W127">
        <f>AND(S127&lt;&gt;0,SIGN(L127+S127)=SIGN(L127),ABS(L127+S127)&gt;ABS(L127),L127&lt;&gt;0)</f>
        <v/>
      </c>
      <c r="X127">
        <f>AND(S127&lt;&gt;0,SIGN(L127+S127)=SIGN(L127),ABS(L127+S127)&lt;ABS(L127))</f>
        <v/>
      </c>
      <c r="Y127">
        <f>AND(S127&lt;&gt;0,L127+S127=0)</f>
        <v/>
      </c>
      <c r="Z127">
        <f>AND(S127&lt;&gt;0,SIGN(L127+S127)&lt;&gt;SIGN(L127),L127+S127&lt;&gt;0,L127&lt;&gt;0)</f>
        <v/>
      </c>
      <c r="AA127">
        <f>IF(OR(X127,Y127),ABS(S127),IF(Z127,ABS(L127),0))</f>
        <v/>
      </c>
      <c r="AB127">
        <f>AA127*(U127-M127)*$H$2*IF(L127&lt;0,-1,1)</f>
        <v/>
      </c>
      <c r="AC127">
        <f>IF(W127,ABS(L127)*M127+ABS(S127)*U127,0)</f>
        <v/>
      </c>
      <c r="AD127">
        <f>IF(W127,ABS(L127+S127),0)</f>
        <v/>
      </c>
      <c r="AE127">
        <f>IF(V127,U127,IF(W127,AC127/AD127,IF(OR(X127,Y127),IF(Y127,0,M127),IF(Z127,U127,M127))))</f>
        <v/>
      </c>
      <c r="AF127">
        <f>AB127</f>
        <v/>
      </c>
      <c r="AG127">
        <f>ABS(S127)*$D$2</f>
        <v/>
      </c>
      <c r="AH127">
        <f>AF127-AG127</f>
        <v/>
      </c>
      <c r="AI127">
        <f>L127+S127</f>
        <v/>
      </c>
      <c r="AJ127">
        <f>AE127</f>
        <v/>
      </c>
      <c r="AK127">
        <f>N127+AH127</f>
        <v/>
      </c>
      <c r="AL127">
        <f>AI127*(F127-AJ127)*$H$2</f>
        <v/>
      </c>
      <c r="AM127">
        <f>AK127+AL127</f>
        <v/>
      </c>
      <c r="AN127">
        <f>MAX(AN126,AM127)</f>
        <v/>
      </c>
      <c r="AO127">
        <f>(AN127-AM127)/AN127*100</f>
        <v/>
      </c>
    </row>
    <row r="128">
      <c r="A128" t="n">
        <v>123</v>
      </c>
      <c r="B128" s="4" t="n">
        <v>46008.30208333334</v>
      </c>
      <c r="C128" t="n">
        <v>6874</v>
      </c>
      <c r="D128" t="n">
        <v>6877.75</v>
      </c>
      <c r="E128" t="n">
        <v>6863</v>
      </c>
      <c r="F128" t="n">
        <v>6873.25</v>
      </c>
      <c r="G128" t="n">
        <v>17717</v>
      </c>
      <c r="H128">
        <f>F128-C128</f>
        <v/>
      </c>
      <c r="I128">
        <f>AVERAGE(H121:H125)</f>
        <v/>
      </c>
      <c r="J128">
        <f>I128+$F$1</f>
        <v/>
      </c>
      <c r="K128">
        <f>MIN(MAX(J128,-$H$1),$H$1)</f>
        <v/>
      </c>
      <c r="L128">
        <f>AI127</f>
        <v/>
      </c>
      <c r="M128">
        <f>AJ127</f>
        <v/>
      </c>
      <c r="N128">
        <f>AK127</f>
        <v/>
      </c>
      <c r="O128">
        <f>N128+L128*(F128-M128)*$H$2</f>
        <v/>
      </c>
      <c r="P128">
        <f>K128*O128</f>
        <v/>
      </c>
      <c r="Q128">
        <f>F128*$H$2</f>
        <v/>
      </c>
      <c r="R128">
        <f>INT(P128/Q128)</f>
        <v/>
      </c>
      <c r="S128">
        <f>R128-L128</f>
        <v/>
      </c>
      <c r="T128">
        <f>IF(S128&gt;0,"BUY",IF(S128&lt;0,"SELL","HOLD"))</f>
        <v/>
      </c>
      <c r="U128">
        <f>IF(S128=0,0,F128+IF(S128&gt;0,$F$2,-$F$2))</f>
        <v/>
      </c>
      <c r="V128">
        <f>AND(L128=0,S128&lt;&gt;0)</f>
        <v/>
      </c>
      <c r="W128">
        <f>AND(S128&lt;&gt;0,SIGN(L128+S128)=SIGN(L128),ABS(L128+S128)&gt;ABS(L128),L128&lt;&gt;0)</f>
        <v/>
      </c>
      <c r="X128">
        <f>AND(S128&lt;&gt;0,SIGN(L128+S128)=SIGN(L128),ABS(L128+S128)&lt;ABS(L128))</f>
        <v/>
      </c>
      <c r="Y128">
        <f>AND(S128&lt;&gt;0,L128+S128=0)</f>
        <v/>
      </c>
      <c r="Z128">
        <f>AND(S128&lt;&gt;0,SIGN(L128+S128)&lt;&gt;SIGN(L128),L128+S128&lt;&gt;0,L128&lt;&gt;0)</f>
        <v/>
      </c>
      <c r="AA128">
        <f>IF(OR(X128,Y128),ABS(S128),IF(Z128,ABS(L128),0))</f>
        <v/>
      </c>
      <c r="AB128">
        <f>AA128*(U128-M128)*$H$2*IF(L128&lt;0,-1,1)</f>
        <v/>
      </c>
      <c r="AC128">
        <f>IF(W128,ABS(L128)*M128+ABS(S128)*U128,0)</f>
        <v/>
      </c>
      <c r="AD128">
        <f>IF(W128,ABS(L128+S128),0)</f>
        <v/>
      </c>
      <c r="AE128">
        <f>IF(V128,U128,IF(W128,AC128/AD128,IF(OR(X128,Y128),IF(Y128,0,M128),IF(Z128,U128,M128))))</f>
        <v/>
      </c>
      <c r="AF128">
        <f>AB128</f>
        <v/>
      </c>
      <c r="AG128">
        <f>ABS(S128)*$D$2</f>
        <v/>
      </c>
      <c r="AH128">
        <f>AF128-AG128</f>
        <v/>
      </c>
      <c r="AI128">
        <f>L128+S128</f>
        <v/>
      </c>
      <c r="AJ128">
        <f>AE128</f>
        <v/>
      </c>
      <c r="AK128">
        <f>N128+AH128</f>
        <v/>
      </c>
      <c r="AL128">
        <f>AI128*(F128-AJ128)*$H$2</f>
        <v/>
      </c>
      <c r="AM128">
        <f>AK128+AL128</f>
        <v/>
      </c>
      <c r="AN128">
        <f>MAX(AN127,AM128)</f>
        <v/>
      </c>
      <c r="AO128">
        <f>(AN128-AM128)/AN128*100</f>
        <v/>
      </c>
    </row>
    <row r="129">
      <c r="A129" t="n">
        <v>124</v>
      </c>
      <c r="B129" s="4" t="n">
        <v>46009.30208333334</v>
      </c>
      <c r="C129" t="n">
        <v>6807.75</v>
      </c>
      <c r="D129" t="n">
        <v>6810.25</v>
      </c>
      <c r="E129" t="n">
        <v>6807.25</v>
      </c>
      <c r="F129" t="n">
        <v>6809</v>
      </c>
      <c r="G129" t="n">
        <v>5749</v>
      </c>
      <c r="H129">
        <f>F129-C129</f>
        <v/>
      </c>
      <c r="I129">
        <f>AVERAGE(H122:H126)</f>
        <v/>
      </c>
      <c r="J129">
        <f>I129+$F$1</f>
        <v/>
      </c>
      <c r="K129">
        <f>MIN(MAX(J129,-$H$1),$H$1)</f>
        <v/>
      </c>
      <c r="L129">
        <f>AI128</f>
        <v/>
      </c>
      <c r="M129">
        <f>AJ128</f>
        <v/>
      </c>
      <c r="N129">
        <f>AK128</f>
        <v/>
      </c>
      <c r="O129">
        <f>N129+L129*(F129-M129)*$H$2</f>
        <v/>
      </c>
      <c r="P129">
        <f>K129*O129</f>
        <v/>
      </c>
      <c r="Q129">
        <f>F129*$H$2</f>
        <v/>
      </c>
      <c r="R129">
        <f>INT(P129/Q129)</f>
        <v/>
      </c>
      <c r="S129">
        <f>R129-L129</f>
        <v/>
      </c>
      <c r="T129">
        <f>IF(S129&gt;0,"BUY",IF(S129&lt;0,"SELL","HOLD"))</f>
        <v/>
      </c>
      <c r="U129">
        <f>IF(S129=0,0,F129+IF(S129&gt;0,$F$2,-$F$2))</f>
        <v/>
      </c>
      <c r="V129">
        <f>AND(L129=0,S129&lt;&gt;0)</f>
        <v/>
      </c>
      <c r="W129">
        <f>AND(S129&lt;&gt;0,SIGN(L129+S129)=SIGN(L129),ABS(L129+S129)&gt;ABS(L129),L129&lt;&gt;0)</f>
        <v/>
      </c>
      <c r="X129">
        <f>AND(S129&lt;&gt;0,SIGN(L129+S129)=SIGN(L129),ABS(L129+S129)&lt;ABS(L129))</f>
        <v/>
      </c>
      <c r="Y129">
        <f>AND(S129&lt;&gt;0,L129+S129=0)</f>
        <v/>
      </c>
      <c r="Z129">
        <f>AND(S129&lt;&gt;0,SIGN(L129+S129)&lt;&gt;SIGN(L129),L129+S129&lt;&gt;0,L129&lt;&gt;0)</f>
        <v/>
      </c>
      <c r="AA129">
        <f>IF(OR(X129,Y129),ABS(S129),IF(Z129,ABS(L129),0))</f>
        <v/>
      </c>
      <c r="AB129">
        <f>AA129*(U129-M129)*$H$2*IF(L129&lt;0,-1,1)</f>
        <v/>
      </c>
      <c r="AC129">
        <f>IF(W129,ABS(L129)*M129+ABS(S129)*U129,0)</f>
        <v/>
      </c>
      <c r="AD129">
        <f>IF(W129,ABS(L129+S129),0)</f>
        <v/>
      </c>
      <c r="AE129">
        <f>IF(V129,U129,IF(W129,AC129/AD129,IF(OR(X129,Y129),IF(Y129,0,M129),IF(Z129,U129,M129))))</f>
        <v/>
      </c>
      <c r="AF129">
        <f>AB129</f>
        <v/>
      </c>
      <c r="AG129">
        <f>ABS(S129)*$D$2</f>
        <v/>
      </c>
      <c r="AH129">
        <f>AF129-AG129</f>
        <v/>
      </c>
      <c r="AI129">
        <f>L129+S129</f>
        <v/>
      </c>
      <c r="AJ129">
        <f>AE129</f>
        <v/>
      </c>
      <c r="AK129">
        <f>N129+AH129</f>
        <v/>
      </c>
      <c r="AL129">
        <f>AI129*(F129-AJ129)*$H$2</f>
        <v/>
      </c>
      <c r="AM129">
        <f>AK129+AL129</f>
        <v/>
      </c>
      <c r="AN129">
        <f>MAX(AN128,AM129)</f>
        <v/>
      </c>
      <c r="AO129">
        <f>(AN129-AM129)/AN129*100</f>
        <v/>
      </c>
    </row>
    <row r="130">
      <c r="A130" t="n">
        <v>125</v>
      </c>
      <c r="B130" s="4" t="n">
        <v>46010.30208333334</v>
      </c>
      <c r="C130" t="n">
        <v>6834.75</v>
      </c>
      <c r="D130" t="n">
        <v>6835</v>
      </c>
      <c r="E130" t="n">
        <v>6832.5</v>
      </c>
      <c r="F130" t="n">
        <v>6835</v>
      </c>
      <c r="G130" t="n">
        <v>5822</v>
      </c>
      <c r="H130">
        <f>F130-C130</f>
        <v/>
      </c>
      <c r="I130">
        <f>AVERAGE(H123:H127)</f>
        <v/>
      </c>
      <c r="J130">
        <f>I130+$F$1</f>
        <v/>
      </c>
      <c r="K130">
        <f>MIN(MAX(J130,-$H$1),$H$1)</f>
        <v/>
      </c>
      <c r="L130">
        <f>AI129</f>
        <v/>
      </c>
      <c r="M130">
        <f>AJ129</f>
        <v/>
      </c>
      <c r="N130">
        <f>AK129</f>
        <v/>
      </c>
      <c r="O130">
        <f>N130+L130*(F130-M130)*$H$2</f>
        <v/>
      </c>
      <c r="P130">
        <f>K130*O130</f>
        <v/>
      </c>
      <c r="Q130">
        <f>F130*$H$2</f>
        <v/>
      </c>
      <c r="R130">
        <f>INT(P130/Q130)</f>
        <v/>
      </c>
      <c r="S130">
        <f>R130-L130</f>
        <v/>
      </c>
      <c r="T130">
        <f>IF(S130&gt;0,"BUY",IF(S130&lt;0,"SELL","HOLD"))</f>
        <v/>
      </c>
      <c r="U130">
        <f>IF(S130=0,0,F130+IF(S130&gt;0,$F$2,-$F$2))</f>
        <v/>
      </c>
      <c r="V130">
        <f>AND(L130=0,S130&lt;&gt;0)</f>
        <v/>
      </c>
      <c r="W130">
        <f>AND(S130&lt;&gt;0,SIGN(L130+S130)=SIGN(L130),ABS(L130+S130)&gt;ABS(L130),L130&lt;&gt;0)</f>
        <v/>
      </c>
      <c r="X130">
        <f>AND(S130&lt;&gt;0,SIGN(L130+S130)=SIGN(L130),ABS(L130+S130)&lt;ABS(L130))</f>
        <v/>
      </c>
      <c r="Y130">
        <f>AND(S130&lt;&gt;0,L130+S130=0)</f>
        <v/>
      </c>
      <c r="Z130">
        <f>AND(S130&lt;&gt;0,SIGN(L130+S130)&lt;&gt;SIGN(L130),L130+S130&lt;&gt;0,L130&lt;&gt;0)</f>
        <v/>
      </c>
      <c r="AA130">
        <f>IF(OR(X130,Y130),ABS(S130),IF(Z130,ABS(L130),0))</f>
        <v/>
      </c>
      <c r="AB130">
        <f>AA130*(U130-M130)*$H$2*IF(L130&lt;0,-1,1)</f>
        <v/>
      </c>
      <c r="AC130">
        <f>IF(W130,ABS(L130)*M130+ABS(S130)*U130,0)</f>
        <v/>
      </c>
      <c r="AD130">
        <f>IF(W130,ABS(L130+S130),0)</f>
        <v/>
      </c>
      <c r="AE130">
        <f>IF(V130,U130,IF(W130,AC130/AD130,IF(OR(X130,Y130),IF(Y130,0,M130),IF(Z130,U130,M130))))</f>
        <v/>
      </c>
      <c r="AF130">
        <f>AB130</f>
        <v/>
      </c>
      <c r="AG130">
        <f>ABS(S130)*$D$2</f>
        <v/>
      </c>
      <c r="AH130">
        <f>AF130-AG130</f>
        <v/>
      </c>
      <c r="AI130">
        <f>L130+S130</f>
        <v/>
      </c>
      <c r="AJ130">
        <f>AE130</f>
        <v/>
      </c>
      <c r="AK130">
        <f>N130+AH130</f>
        <v/>
      </c>
      <c r="AL130">
        <f>AI130*(F130-AJ130)*$H$2</f>
        <v/>
      </c>
      <c r="AM130">
        <f>AK130+AL130</f>
        <v/>
      </c>
      <c r="AN130">
        <f>MAX(AN129,AM130)</f>
        <v/>
      </c>
      <c r="AO130">
        <f>(AN130-AM130)/AN130*100</f>
        <v/>
      </c>
    </row>
    <row r="131">
      <c r="A131" t="n">
        <v>126</v>
      </c>
      <c r="B131" s="4" t="n">
        <v>46013.30208333334</v>
      </c>
      <c r="C131" t="n">
        <v>6916.25</v>
      </c>
      <c r="D131" t="n">
        <v>6919.25</v>
      </c>
      <c r="E131" t="n">
        <v>6915.25</v>
      </c>
      <c r="F131" t="n">
        <v>6918.25</v>
      </c>
      <c r="G131" t="n">
        <v>3488</v>
      </c>
      <c r="H131">
        <f>F131-C131</f>
        <v/>
      </c>
      <c r="I131">
        <f>AVERAGE(H124:H128)</f>
        <v/>
      </c>
      <c r="J131">
        <f>I131+$F$1</f>
        <v/>
      </c>
      <c r="K131">
        <f>MIN(MAX(J131,-$H$1),$H$1)</f>
        <v/>
      </c>
      <c r="L131">
        <f>AI130</f>
        <v/>
      </c>
      <c r="M131">
        <f>AJ130</f>
        <v/>
      </c>
      <c r="N131">
        <f>AK130</f>
        <v/>
      </c>
      <c r="O131">
        <f>N131+L131*(F131-M131)*$H$2</f>
        <v/>
      </c>
      <c r="P131">
        <f>K131*O131</f>
        <v/>
      </c>
      <c r="Q131">
        <f>F131*$H$2</f>
        <v/>
      </c>
      <c r="R131">
        <f>INT(P131/Q131)</f>
        <v/>
      </c>
      <c r="S131">
        <f>R131-L131</f>
        <v/>
      </c>
      <c r="T131">
        <f>IF(S131&gt;0,"BUY",IF(S131&lt;0,"SELL","HOLD"))</f>
        <v/>
      </c>
      <c r="U131">
        <f>IF(S131=0,0,F131+IF(S131&gt;0,$F$2,-$F$2))</f>
        <v/>
      </c>
      <c r="V131">
        <f>AND(L131=0,S131&lt;&gt;0)</f>
        <v/>
      </c>
      <c r="W131">
        <f>AND(S131&lt;&gt;0,SIGN(L131+S131)=SIGN(L131),ABS(L131+S131)&gt;ABS(L131),L131&lt;&gt;0)</f>
        <v/>
      </c>
      <c r="X131">
        <f>AND(S131&lt;&gt;0,SIGN(L131+S131)=SIGN(L131),ABS(L131+S131)&lt;ABS(L131))</f>
        <v/>
      </c>
      <c r="Y131">
        <f>AND(S131&lt;&gt;0,L131+S131=0)</f>
        <v/>
      </c>
      <c r="Z131">
        <f>AND(S131&lt;&gt;0,SIGN(L131+S131)&lt;&gt;SIGN(L131),L131+S131&lt;&gt;0,L131&lt;&gt;0)</f>
        <v/>
      </c>
      <c r="AA131">
        <f>IF(OR(X131,Y131),ABS(S131),IF(Z131,ABS(L131),0))</f>
        <v/>
      </c>
      <c r="AB131">
        <f>AA131*(U131-M131)*$H$2*IF(L131&lt;0,-1,1)</f>
        <v/>
      </c>
      <c r="AC131">
        <f>IF(W131,ABS(L131)*M131+ABS(S131)*U131,0)</f>
        <v/>
      </c>
      <c r="AD131">
        <f>IF(W131,ABS(L131+S131),0)</f>
        <v/>
      </c>
      <c r="AE131">
        <f>IF(V131,U131,IF(W131,AC131/AD131,IF(OR(X131,Y131),IF(Y131,0,M131),IF(Z131,U131,M131))))</f>
        <v/>
      </c>
      <c r="AF131">
        <f>AB131</f>
        <v/>
      </c>
      <c r="AG131">
        <f>ABS(S131)*$D$2</f>
        <v/>
      </c>
      <c r="AH131">
        <f>AF131-AG131</f>
        <v/>
      </c>
      <c r="AI131">
        <f>L131+S131</f>
        <v/>
      </c>
      <c r="AJ131">
        <f>AE131</f>
        <v/>
      </c>
      <c r="AK131">
        <f>N131+AH131</f>
        <v/>
      </c>
      <c r="AL131">
        <f>AI131*(F131-AJ131)*$H$2</f>
        <v/>
      </c>
      <c r="AM131">
        <f>AK131+AL131</f>
        <v/>
      </c>
      <c r="AN131">
        <f>MAX(AN130,AM131)</f>
        <v/>
      </c>
      <c r="AO131">
        <f>(AN131-AM131)/AN131*100</f>
        <v/>
      </c>
    </row>
    <row r="132">
      <c r="A132" t="n">
        <v>127</v>
      </c>
      <c r="B132" s="4" t="n">
        <v>46014.30208333334</v>
      </c>
      <c r="C132" t="n">
        <v>6926.5</v>
      </c>
      <c r="D132" t="n">
        <v>6927.5</v>
      </c>
      <c r="E132" t="n">
        <v>6924.5</v>
      </c>
      <c r="F132" t="n">
        <v>6927</v>
      </c>
      <c r="G132" t="n">
        <v>2072</v>
      </c>
      <c r="H132">
        <f>F132-C132</f>
        <v/>
      </c>
      <c r="I132">
        <f>AVERAGE(H125:H129)</f>
        <v/>
      </c>
      <c r="J132">
        <f>I132+$F$1</f>
        <v/>
      </c>
      <c r="K132">
        <f>MIN(MAX(J132,-$H$1),$H$1)</f>
        <v/>
      </c>
      <c r="L132">
        <f>AI131</f>
        <v/>
      </c>
      <c r="M132">
        <f>AJ131</f>
        <v/>
      </c>
      <c r="N132">
        <f>AK131</f>
        <v/>
      </c>
      <c r="O132">
        <f>N132+L132*(F132-M132)*$H$2</f>
        <v/>
      </c>
      <c r="P132">
        <f>K132*O132</f>
        <v/>
      </c>
      <c r="Q132">
        <f>F132*$H$2</f>
        <v/>
      </c>
      <c r="R132">
        <f>INT(P132/Q132)</f>
        <v/>
      </c>
      <c r="S132">
        <f>R132-L132</f>
        <v/>
      </c>
      <c r="T132">
        <f>IF(S132&gt;0,"BUY",IF(S132&lt;0,"SELL","HOLD"))</f>
        <v/>
      </c>
      <c r="U132">
        <f>IF(S132=0,0,F132+IF(S132&gt;0,$F$2,-$F$2))</f>
        <v/>
      </c>
      <c r="V132">
        <f>AND(L132=0,S132&lt;&gt;0)</f>
        <v/>
      </c>
      <c r="W132">
        <f>AND(S132&lt;&gt;0,SIGN(L132+S132)=SIGN(L132),ABS(L132+S132)&gt;ABS(L132),L132&lt;&gt;0)</f>
        <v/>
      </c>
      <c r="X132">
        <f>AND(S132&lt;&gt;0,SIGN(L132+S132)=SIGN(L132),ABS(L132+S132)&lt;ABS(L132))</f>
        <v/>
      </c>
      <c r="Y132">
        <f>AND(S132&lt;&gt;0,L132+S132=0)</f>
        <v/>
      </c>
      <c r="Z132">
        <f>AND(S132&lt;&gt;0,SIGN(L132+S132)&lt;&gt;SIGN(L132),L132+S132&lt;&gt;0,L132&lt;&gt;0)</f>
        <v/>
      </c>
      <c r="AA132">
        <f>IF(OR(X132,Y132),ABS(S132),IF(Z132,ABS(L132),0))</f>
        <v/>
      </c>
      <c r="AB132">
        <f>AA132*(U132-M132)*$H$2*IF(L132&lt;0,-1,1)</f>
        <v/>
      </c>
      <c r="AC132">
        <f>IF(W132,ABS(L132)*M132+ABS(S132)*U132,0)</f>
        <v/>
      </c>
      <c r="AD132">
        <f>IF(W132,ABS(L132+S132),0)</f>
        <v/>
      </c>
      <c r="AE132">
        <f>IF(V132,U132,IF(W132,AC132/AD132,IF(OR(X132,Y132),IF(Y132,0,M132),IF(Z132,U132,M132))))</f>
        <v/>
      </c>
      <c r="AF132">
        <f>AB132</f>
        <v/>
      </c>
      <c r="AG132">
        <f>ABS(S132)*$D$2</f>
        <v/>
      </c>
      <c r="AH132">
        <f>AF132-AG132</f>
        <v/>
      </c>
      <c r="AI132">
        <f>L132+S132</f>
        <v/>
      </c>
      <c r="AJ132">
        <f>AE132</f>
        <v/>
      </c>
      <c r="AK132">
        <f>N132+AH132</f>
        <v/>
      </c>
      <c r="AL132">
        <f>AI132*(F132-AJ132)*$H$2</f>
        <v/>
      </c>
      <c r="AM132">
        <f>AK132+AL132</f>
        <v/>
      </c>
      <c r="AN132">
        <f>MAX(AN131,AM132)</f>
        <v/>
      </c>
      <c r="AO132">
        <f>(AN132-AM132)/AN132*100</f>
        <v/>
      </c>
    </row>
    <row r="133">
      <c r="A133" t="n">
        <v>128</v>
      </c>
      <c r="B133" s="4" t="n">
        <v>46015.30208333334</v>
      </c>
      <c r="C133" t="n">
        <v>6958</v>
      </c>
      <c r="D133" t="n">
        <v>6959.25</v>
      </c>
      <c r="E133" t="n">
        <v>6957.75</v>
      </c>
      <c r="F133" t="n">
        <v>6959</v>
      </c>
      <c r="G133" t="n">
        <v>1191</v>
      </c>
      <c r="H133">
        <f>F133-C133</f>
        <v/>
      </c>
      <c r="I133">
        <f>AVERAGE(H126:H130)</f>
        <v/>
      </c>
      <c r="J133">
        <f>I133+$F$1</f>
        <v/>
      </c>
      <c r="K133">
        <f>MIN(MAX(J133,-$H$1),$H$1)</f>
        <v/>
      </c>
      <c r="L133">
        <f>AI132</f>
        <v/>
      </c>
      <c r="M133">
        <f>AJ132</f>
        <v/>
      </c>
      <c r="N133">
        <f>AK132</f>
        <v/>
      </c>
      <c r="O133">
        <f>N133+L133*(F133-M133)*$H$2</f>
        <v/>
      </c>
      <c r="P133">
        <f>K133*O133</f>
        <v/>
      </c>
      <c r="Q133">
        <f>F133*$H$2</f>
        <v/>
      </c>
      <c r="R133">
        <f>INT(P133/Q133)</f>
        <v/>
      </c>
      <c r="S133">
        <f>R133-L133</f>
        <v/>
      </c>
      <c r="T133">
        <f>IF(S133&gt;0,"BUY",IF(S133&lt;0,"SELL","HOLD"))</f>
        <v/>
      </c>
      <c r="U133">
        <f>IF(S133=0,0,F133+IF(S133&gt;0,$F$2,-$F$2))</f>
        <v/>
      </c>
      <c r="V133">
        <f>AND(L133=0,S133&lt;&gt;0)</f>
        <v/>
      </c>
      <c r="W133">
        <f>AND(S133&lt;&gt;0,SIGN(L133+S133)=SIGN(L133),ABS(L133+S133)&gt;ABS(L133),L133&lt;&gt;0)</f>
        <v/>
      </c>
      <c r="X133">
        <f>AND(S133&lt;&gt;0,SIGN(L133+S133)=SIGN(L133),ABS(L133+S133)&lt;ABS(L133))</f>
        <v/>
      </c>
      <c r="Y133">
        <f>AND(S133&lt;&gt;0,L133+S133=0)</f>
        <v/>
      </c>
      <c r="Z133">
        <f>AND(S133&lt;&gt;0,SIGN(L133+S133)&lt;&gt;SIGN(L133),L133+S133&lt;&gt;0,L133&lt;&gt;0)</f>
        <v/>
      </c>
      <c r="AA133">
        <f>IF(OR(X133,Y133),ABS(S133),IF(Z133,ABS(L133),0))</f>
        <v/>
      </c>
      <c r="AB133">
        <f>AA133*(U133-M133)*$H$2*IF(L133&lt;0,-1,1)</f>
        <v/>
      </c>
      <c r="AC133">
        <f>IF(W133,ABS(L133)*M133+ABS(S133)*U133,0)</f>
        <v/>
      </c>
      <c r="AD133">
        <f>IF(W133,ABS(L133+S133),0)</f>
        <v/>
      </c>
      <c r="AE133">
        <f>IF(V133,U133,IF(W133,AC133/AD133,IF(OR(X133,Y133),IF(Y133,0,M133),IF(Z133,U133,M133))))</f>
        <v/>
      </c>
      <c r="AF133">
        <f>AB133</f>
        <v/>
      </c>
      <c r="AG133">
        <f>ABS(S133)*$D$2</f>
        <v/>
      </c>
      <c r="AH133">
        <f>AF133-AG133</f>
        <v/>
      </c>
      <c r="AI133">
        <f>L133+S133</f>
        <v/>
      </c>
      <c r="AJ133">
        <f>AE133</f>
        <v/>
      </c>
      <c r="AK133">
        <f>N133+AH133</f>
        <v/>
      </c>
      <c r="AL133">
        <f>AI133*(F133-AJ133)*$H$2</f>
        <v/>
      </c>
      <c r="AM133">
        <f>AK133+AL133</f>
        <v/>
      </c>
      <c r="AN133">
        <f>MAX(AN132,AM133)</f>
        <v/>
      </c>
      <c r="AO133">
        <f>(AN133-AM133)/AN133*100</f>
        <v/>
      </c>
    </row>
    <row r="134">
      <c r="A134" t="n">
        <v>129</v>
      </c>
      <c r="B134" s="4" t="n">
        <v>46017.30208333334</v>
      </c>
      <c r="C134" t="n">
        <v>6979.75</v>
      </c>
      <c r="D134" t="n">
        <v>6982.75</v>
      </c>
      <c r="E134" t="n">
        <v>6979.5</v>
      </c>
      <c r="F134" t="n">
        <v>6980.75</v>
      </c>
      <c r="G134" t="n">
        <v>2463</v>
      </c>
      <c r="H134">
        <f>F134-C134</f>
        <v/>
      </c>
      <c r="I134">
        <f>AVERAGE(H127:H131)</f>
        <v/>
      </c>
      <c r="J134">
        <f>I134+$F$1</f>
        <v/>
      </c>
      <c r="K134">
        <f>MIN(MAX(J134,-$H$1),$H$1)</f>
        <v/>
      </c>
      <c r="L134">
        <f>AI133</f>
        <v/>
      </c>
      <c r="M134">
        <f>AJ133</f>
        <v/>
      </c>
      <c r="N134">
        <f>AK133</f>
        <v/>
      </c>
      <c r="O134">
        <f>N134+L134*(F134-M134)*$H$2</f>
        <v/>
      </c>
      <c r="P134">
        <f>K134*O134</f>
        <v/>
      </c>
      <c r="Q134">
        <f>F134*$H$2</f>
        <v/>
      </c>
      <c r="R134">
        <f>INT(P134/Q134)</f>
        <v/>
      </c>
      <c r="S134">
        <f>R134-L134</f>
        <v/>
      </c>
      <c r="T134">
        <f>IF(S134&gt;0,"BUY",IF(S134&lt;0,"SELL","HOLD"))</f>
        <v/>
      </c>
      <c r="U134">
        <f>IF(S134=0,0,F134+IF(S134&gt;0,$F$2,-$F$2))</f>
        <v/>
      </c>
      <c r="V134">
        <f>AND(L134=0,S134&lt;&gt;0)</f>
        <v/>
      </c>
      <c r="W134">
        <f>AND(S134&lt;&gt;0,SIGN(L134+S134)=SIGN(L134),ABS(L134+S134)&gt;ABS(L134),L134&lt;&gt;0)</f>
        <v/>
      </c>
      <c r="X134">
        <f>AND(S134&lt;&gt;0,SIGN(L134+S134)=SIGN(L134),ABS(L134+S134)&lt;ABS(L134))</f>
        <v/>
      </c>
      <c r="Y134">
        <f>AND(S134&lt;&gt;0,L134+S134=0)</f>
        <v/>
      </c>
      <c r="Z134">
        <f>AND(S134&lt;&gt;0,SIGN(L134+S134)&lt;&gt;SIGN(L134),L134+S134&lt;&gt;0,L134&lt;&gt;0)</f>
        <v/>
      </c>
      <c r="AA134">
        <f>IF(OR(X134,Y134),ABS(S134),IF(Z134,ABS(L134),0))</f>
        <v/>
      </c>
      <c r="AB134">
        <f>AA134*(U134-M134)*$H$2*IF(L134&lt;0,-1,1)</f>
        <v/>
      </c>
      <c r="AC134">
        <f>IF(W134,ABS(L134)*M134+ABS(S134)*U134,0)</f>
        <v/>
      </c>
      <c r="AD134">
        <f>IF(W134,ABS(L134+S134),0)</f>
        <v/>
      </c>
      <c r="AE134">
        <f>IF(V134,U134,IF(W134,AC134/AD134,IF(OR(X134,Y134),IF(Y134,0,M134),IF(Z134,U134,M134))))</f>
        <v/>
      </c>
      <c r="AF134">
        <f>AB134</f>
        <v/>
      </c>
      <c r="AG134">
        <f>ABS(S134)*$D$2</f>
        <v/>
      </c>
      <c r="AH134">
        <f>AF134-AG134</f>
        <v/>
      </c>
      <c r="AI134">
        <f>L134+S134</f>
        <v/>
      </c>
      <c r="AJ134">
        <f>AE134</f>
        <v/>
      </c>
      <c r="AK134">
        <f>N134+AH134</f>
        <v/>
      </c>
      <c r="AL134">
        <f>AI134*(F134-AJ134)*$H$2</f>
        <v/>
      </c>
      <c r="AM134">
        <f>AK134+AL134</f>
        <v/>
      </c>
      <c r="AN134">
        <f>MAX(AN133,AM134)</f>
        <v/>
      </c>
      <c r="AO134">
        <f>(AN134-AM134)/AN134*100</f>
        <v/>
      </c>
    </row>
    <row r="135">
      <c r="A135" t="n">
        <v>130</v>
      </c>
      <c r="B135" s="4" t="n">
        <v>46020.30208333334</v>
      </c>
      <c r="C135" t="n">
        <v>6960.5</v>
      </c>
      <c r="D135" t="n">
        <v>6961.25</v>
      </c>
      <c r="E135" t="n">
        <v>6957.5</v>
      </c>
      <c r="F135" t="n">
        <v>6959.5</v>
      </c>
      <c r="G135" t="n">
        <v>2836</v>
      </c>
      <c r="H135">
        <f>F135-C135</f>
        <v/>
      </c>
      <c r="I135">
        <f>AVERAGE(H128:H132)</f>
        <v/>
      </c>
      <c r="J135">
        <f>I135+$F$1</f>
        <v/>
      </c>
      <c r="K135">
        <f>MIN(MAX(J135,-$H$1),$H$1)</f>
        <v/>
      </c>
      <c r="L135">
        <f>AI134</f>
        <v/>
      </c>
      <c r="M135">
        <f>AJ134</f>
        <v/>
      </c>
      <c r="N135">
        <f>AK134</f>
        <v/>
      </c>
      <c r="O135">
        <f>N135+L135*(F135-M135)*$H$2</f>
        <v/>
      </c>
      <c r="P135">
        <f>K135*O135</f>
        <v/>
      </c>
      <c r="Q135">
        <f>F135*$H$2</f>
        <v/>
      </c>
      <c r="R135">
        <f>INT(P135/Q135)</f>
        <v/>
      </c>
      <c r="S135">
        <f>R135-L135</f>
        <v/>
      </c>
      <c r="T135">
        <f>IF(S135&gt;0,"BUY",IF(S135&lt;0,"SELL","HOLD"))</f>
        <v/>
      </c>
      <c r="U135">
        <f>IF(S135=0,0,F135+IF(S135&gt;0,$F$2,-$F$2))</f>
        <v/>
      </c>
      <c r="V135">
        <f>AND(L135=0,S135&lt;&gt;0)</f>
        <v/>
      </c>
      <c r="W135">
        <f>AND(S135&lt;&gt;0,SIGN(L135+S135)=SIGN(L135),ABS(L135+S135)&gt;ABS(L135),L135&lt;&gt;0)</f>
        <v/>
      </c>
      <c r="X135">
        <f>AND(S135&lt;&gt;0,SIGN(L135+S135)=SIGN(L135),ABS(L135+S135)&lt;ABS(L135))</f>
        <v/>
      </c>
      <c r="Y135">
        <f>AND(S135&lt;&gt;0,L135+S135=0)</f>
        <v/>
      </c>
      <c r="Z135">
        <f>AND(S135&lt;&gt;0,SIGN(L135+S135)&lt;&gt;SIGN(L135),L135+S135&lt;&gt;0,L135&lt;&gt;0)</f>
        <v/>
      </c>
      <c r="AA135">
        <f>IF(OR(X135,Y135),ABS(S135),IF(Z135,ABS(L135),0))</f>
        <v/>
      </c>
      <c r="AB135">
        <f>AA135*(U135-M135)*$H$2*IF(L135&lt;0,-1,1)</f>
        <v/>
      </c>
      <c r="AC135">
        <f>IF(W135,ABS(L135)*M135+ABS(S135)*U135,0)</f>
        <v/>
      </c>
      <c r="AD135">
        <f>IF(W135,ABS(L135+S135),0)</f>
        <v/>
      </c>
      <c r="AE135">
        <f>IF(V135,U135,IF(W135,AC135/AD135,IF(OR(X135,Y135),IF(Y135,0,M135),IF(Z135,U135,M135))))</f>
        <v/>
      </c>
      <c r="AF135">
        <f>AB135</f>
        <v/>
      </c>
      <c r="AG135">
        <f>ABS(S135)*$D$2</f>
        <v/>
      </c>
      <c r="AH135">
        <f>AF135-AG135</f>
        <v/>
      </c>
      <c r="AI135">
        <f>L135+S135</f>
        <v/>
      </c>
      <c r="AJ135">
        <f>AE135</f>
        <v/>
      </c>
      <c r="AK135">
        <f>N135+AH135</f>
        <v/>
      </c>
      <c r="AL135">
        <f>AI135*(F135-AJ135)*$H$2</f>
        <v/>
      </c>
      <c r="AM135">
        <f>AK135+AL135</f>
        <v/>
      </c>
      <c r="AN135">
        <f>MAX(AN134,AM135)</f>
        <v/>
      </c>
      <c r="AO135">
        <f>(AN135-AM135)/AN135*100</f>
        <v/>
      </c>
    </row>
    <row r="136">
      <c r="A136" t="n">
        <v>131</v>
      </c>
      <c r="B136" s="4" t="n">
        <v>46021.30208333334</v>
      </c>
      <c r="C136" t="n">
        <v>6953.5</v>
      </c>
      <c r="D136" t="n">
        <v>6955.75</v>
      </c>
      <c r="E136" t="n">
        <v>6952.75</v>
      </c>
      <c r="F136" t="n">
        <v>6953.25</v>
      </c>
      <c r="G136" t="n">
        <v>2282</v>
      </c>
      <c r="H136">
        <f>F136-C136</f>
        <v/>
      </c>
      <c r="I136">
        <f>AVERAGE(H129:H133)</f>
        <v/>
      </c>
      <c r="J136">
        <f>I136+$F$1</f>
        <v/>
      </c>
      <c r="K136">
        <f>MIN(MAX(J136,-$H$1),$H$1)</f>
        <v/>
      </c>
      <c r="L136">
        <f>AI135</f>
        <v/>
      </c>
      <c r="M136">
        <f>AJ135</f>
        <v/>
      </c>
      <c r="N136">
        <f>AK135</f>
        <v/>
      </c>
      <c r="O136">
        <f>N136+L136*(F136-M136)*$H$2</f>
        <v/>
      </c>
      <c r="P136">
        <f>K136*O136</f>
        <v/>
      </c>
      <c r="Q136">
        <f>F136*$H$2</f>
        <v/>
      </c>
      <c r="R136">
        <f>INT(P136/Q136)</f>
        <v/>
      </c>
      <c r="S136">
        <f>R136-L136</f>
        <v/>
      </c>
      <c r="T136">
        <f>IF(S136&gt;0,"BUY",IF(S136&lt;0,"SELL","HOLD"))</f>
        <v/>
      </c>
      <c r="U136">
        <f>IF(S136=0,0,F136+IF(S136&gt;0,$F$2,-$F$2))</f>
        <v/>
      </c>
      <c r="V136">
        <f>AND(L136=0,S136&lt;&gt;0)</f>
        <v/>
      </c>
      <c r="W136">
        <f>AND(S136&lt;&gt;0,SIGN(L136+S136)=SIGN(L136),ABS(L136+S136)&gt;ABS(L136),L136&lt;&gt;0)</f>
        <v/>
      </c>
      <c r="X136">
        <f>AND(S136&lt;&gt;0,SIGN(L136+S136)=SIGN(L136),ABS(L136+S136)&lt;ABS(L136))</f>
        <v/>
      </c>
      <c r="Y136">
        <f>AND(S136&lt;&gt;0,L136+S136=0)</f>
        <v/>
      </c>
      <c r="Z136">
        <f>AND(S136&lt;&gt;0,SIGN(L136+S136)&lt;&gt;SIGN(L136),L136+S136&lt;&gt;0,L136&lt;&gt;0)</f>
        <v/>
      </c>
      <c r="AA136">
        <f>IF(OR(X136,Y136),ABS(S136),IF(Z136,ABS(L136),0))</f>
        <v/>
      </c>
      <c r="AB136">
        <f>AA136*(U136-M136)*$H$2*IF(L136&lt;0,-1,1)</f>
        <v/>
      </c>
      <c r="AC136">
        <f>IF(W136,ABS(L136)*M136+ABS(S136)*U136,0)</f>
        <v/>
      </c>
      <c r="AD136">
        <f>IF(W136,ABS(L136+S136),0)</f>
        <v/>
      </c>
      <c r="AE136">
        <f>IF(V136,U136,IF(W136,AC136/AD136,IF(OR(X136,Y136),IF(Y136,0,M136),IF(Z136,U136,M136))))</f>
        <v/>
      </c>
      <c r="AF136">
        <f>AB136</f>
        <v/>
      </c>
      <c r="AG136">
        <f>ABS(S136)*$D$2</f>
        <v/>
      </c>
      <c r="AH136">
        <f>AF136-AG136</f>
        <v/>
      </c>
      <c r="AI136">
        <f>L136+S136</f>
        <v/>
      </c>
      <c r="AJ136">
        <f>AE136</f>
        <v/>
      </c>
      <c r="AK136">
        <f>N136+AH136</f>
        <v/>
      </c>
      <c r="AL136">
        <f>AI136*(F136-AJ136)*$H$2</f>
        <v/>
      </c>
      <c r="AM136">
        <f>AK136+AL136</f>
        <v/>
      </c>
      <c r="AN136">
        <f>MAX(AN135,AM136)</f>
        <v/>
      </c>
      <c r="AO136">
        <f>(AN136-AM136)/AN136*100</f>
        <v/>
      </c>
    </row>
    <row r="137">
      <c r="A137" t="n">
        <v>132</v>
      </c>
      <c r="B137" s="4" t="n">
        <v>46022.30208333334</v>
      </c>
      <c r="C137" t="n">
        <v>6936.25</v>
      </c>
      <c r="D137" t="n">
        <v>6939.75</v>
      </c>
      <c r="E137" t="n">
        <v>6936</v>
      </c>
      <c r="F137" t="n">
        <v>6939.25</v>
      </c>
      <c r="G137" t="n">
        <v>2706</v>
      </c>
      <c r="H137">
        <f>F137-C137</f>
        <v/>
      </c>
      <c r="I137">
        <f>AVERAGE(H130:H134)</f>
        <v/>
      </c>
      <c r="J137">
        <f>I137+$F$1</f>
        <v/>
      </c>
      <c r="K137">
        <f>MIN(MAX(J137,-$H$1),$H$1)</f>
        <v/>
      </c>
      <c r="L137">
        <f>AI136</f>
        <v/>
      </c>
      <c r="M137">
        <f>AJ136</f>
        <v/>
      </c>
      <c r="N137">
        <f>AK136</f>
        <v/>
      </c>
      <c r="O137">
        <f>N137+L137*(F137-M137)*$H$2</f>
        <v/>
      </c>
      <c r="P137">
        <f>K137*O137</f>
        <v/>
      </c>
      <c r="Q137">
        <f>F137*$H$2</f>
        <v/>
      </c>
      <c r="R137">
        <f>INT(P137/Q137)</f>
        <v/>
      </c>
      <c r="S137">
        <f>R137-L137</f>
        <v/>
      </c>
      <c r="T137">
        <f>IF(S137&gt;0,"BUY",IF(S137&lt;0,"SELL","HOLD"))</f>
        <v/>
      </c>
      <c r="U137">
        <f>IF(S137=0,0,F137+IF(S137&gt;0,$F$2,-$F$2))</f>
        <v/>
      </c>
      <c r="V137">
        <f>AND(L137=0,S137&lt;&gt;0)</f>
        <v/>
      </c>
      <c r="W137">
        <f>AND(S137&lt;&gt;0,SIGN(L137+S137)=SIGN(L137),ABS(L137+S137)&gt;ABS(L137),L137&lt;&gt;0)</f>
        <v/>
      </c>
      <c r="X137">
        <f>AND(S137&lt;&gt;0,SIGN(L137+S137)=SIGN(L137),ABS(L137+S137)&lt;ABS(L137))</f>
        <v/>
      </c>
      <c r="Y137">
        <f>AND(S137&lt;&gt;0,L137+S137=0)</f>
        <v/>
      </c>
      <c r="Z137">
        <f>AND(S137&lt;&gt;0,SIGN(L137+S137)&lt;&gt;SIGN(L137),L137+S137&lt;&gt;0,L137&lt;&gt;0)</f>
        <v/>
      </c>
      <c r="AA137">
        <f>IF(OR(X137,Y137),ABS(S137),IF(Z137,ABS(L137),0))</f>
        <v/>
      </c>
      <c r="AB137">
        <f>AA137*(U137-M137)*$H$2*IF(L137&lt;0,-1,1)</f>
        <v/>
      </c>
      <c r="AC137">
        <f>IF(W137,ABS(L137)*M137+ABS(S137)*U137,0)</f>
        <v/>
      </c>
      <c r="AD137">
        <f>IF(W137,ABS(L137+S137),0)</f>
        <v/>
      </c>
      <c r="AE137">
        <f>IF(V137,U137,IF(W137,AC137/AD137,IF(OR(X137,Y137),IF(Y137,0,M137),IF(Z137,U137,M137))))</f>
        <v/>
      </c>
      <c r="AF137">
        <f>AB137</f>
        <v/>
      </c>
      <c r="AG137">
        <f>ABS(S137)*$D$2</f>
        <v/>
      </c>
      <c r="AH137">
        <f>AF137-AG137</f>
        <v/>
      </c>
      <c r="AI137">
        <f>L137+S137</f>
        <v/>
      </c>
      <c r="AJ137">
        <f>AE137</f>
        <v/>
      </c>
      <c r="AK137">
        <f>N137+AH137</f>
        <v/>
      </c>
      <c r="AL137">
        <f>AI137*(F137-AJ137)*$H$2</f>
        <v/>
      </c>
      <c r="AM137">
        <f>AK137+AL137</f>
        <v/>
      </c>
      <c r="AN137">
        <f>MAX(AN136,AM137)</f>
        <v/>
      </c>
      <c r="AO137">
        <f>(AN137-AM137)/AN137*100</f>
        <v/>
      </c>
    </row>
    <row r="140">
      <c r="A140" s="5" t="inlineStr">
        <is>
          <t>SUMMARY</t>
        </is>
      </c>
    </row>
    <row r="141">
      <c r="A141" s="1" t="inlineStr">
        <is>
          <t>Initial Capital</t>
        </is>
      </c>
      <c r="B141">
        <f>$B$2</f>
        <v/>
      </c>
    </row>
    <row r="142">
      <c r="A142" s="1" t="inlineStr">
        <is>
          <t>Final Equity</t>
        </is>
      </c>
      <c r="B142">
        <f>AM137</f>
        <v/>
      </c>
    </row>
    <row r="143">
      <c r="A143" s="1" t="inlineStr">
        <is>
          <t>Total Return %</t>
        </is>
      </c>
      <c r="B143">
        <f>(AM137-$B$2)/$B$2*100</f>
        <v/>
      </c>
    </row>
    <row r="144">
      <c r="A144" s="1" t="inlineStr">
        <is>
          <t>Total Trades</t>
        </is>
      </c>
      <c r="B144">
        <f>COUNTIF(T6:T137,"&lt;&gt;HOLD")-COUNTIF(T6:T137,"WAIT")</f>
        <v/>
      </c>
    </row>
    <row r="145">
      <c r="A145" s="1" t="inlineStr">
        <is>
          <t>Total PnL</t>
        </is>
      </c>
      <c r="B145">
        <f>SUM(AH6:AH137)</f>
        <v/>
      </c>
    </row>
    <row r="146">
      <c r="A146" s="1" t="inlineStr">
        <is>
          <t>Max Drawdown %</t>
        </is>
      </c>
      <c r="B146">
        <f>MAX(AO6:AO137)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2026-01-02T09:02:18Z</dcterms:created>
  <dcterms:modified xsi:type="dcterms:W3CDTF">2026-01-02T09:02:18Z</dcterms:modified>
</cp:coreProperties>
</file>